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image/x-emf" Extension="emf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pivotCacheDefinition+xml" PartName="/xl/pivotCache/pivotCacheDefinition1.xml"/>
  <Override ContentType="application/vnd.openxmlformats-officedocument.spreadsheetml.pivotCacheRecords+xml" PartName="/xl/pivotCache/pivotCacheRecords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52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drawing+xml" PartName="/xl/drawings/drawing1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openxmlformats-officedocument.spreadsheetml.comments+xml" PartName="/xl/comments6.xml"/>
  <Override ContentType="application/vnd.openxmlformats-officedocument.drawing+xml" PartName="/xl/drawings/drawing2.xml"/>
  <Override ContentType="application/vnd.ms-office.activeX+xml" PartName="/xl/activeX/activeX1.xml"/>
  <Override ContentType="application/vnd.ms-office.activeX" PartName="/xl/activeX/activeX1.bin"/>
  <Override ContentType="application/vnd.ms-office.activeX+xml" PartName="/xl/activeX/activeX2.xml"/>
  <Override ContentType="application/vnd.ms-office.activeX" PartName="/xl/activeX/activeX2.bin"/>
  <Override ContentType="application/vnd.ms-office.activeX+xml" PartName="/xl/activeX/activeX3.xml"/>
  <Override ContentType="application/vnd.ms-office.activeX" PartName="/xl/activeX/activeX3.bin"/>
  <Override ContentType="application/vnd.ms-office.activeX+xml" PartName="/xl/activeX/activeX4.xml"/>
  <Override ContentType="application/vnd.ms-office.activeX" PartName="/xl/activeX/activeX4.bin"/>
  <Override ContentType="application/vnd.ms-office.activeX+xml" PartName="/xl/activeX/activeX5.xml"/>
  <Override ContentType="application/vnd.ms-office.activeX" PartName="/xl/activeX/activeX5.bin"/>
  <Override ContentType="application/vnd.ms-office.activeX+xml" PartName="/xl/activeX/activeX6.xml"/>
  <Override ContentType="application/vnd.ms-office.activeX" PartName="/xl/activeX/activeX6.bin"/>
  <Override ContentType="application/vnd.ms-office.activeX+xml" PartName="/xl/activeX/activeX7.xml"/>
  <Override ContentType="application/vnd.ms-office.activeX" PartName="/xl/activeX/activeX7.bin"/>
  <Override ContentType="application/vnd.ms-office.activeX+xml" PartName="/xl/activeX/activeX8.xml"/>
  <Override ContentType="application/vnd.ms-office.activeX" PartName="/xl/activeX/activeX8.bin"/>
  <Override ContentType="application/vnd.ms-office.activeX+xml" PartName="/xl/activeX/activeX9.xml"/>
  <Override ContentType="application/vnd.ms-office.activeX" PartName="/xl/activeX/activeX9.bin"/>
  <Override ContentType="application/vnd.ms-office.activeX+xml" PartName="/xl/activeX/activeX10.xml"/>
  <Override ContentType="application/vnd.ms-office.activeX" PartName="/xl/activeX/activeX10.bin"/>
  <Override ContentType="application/vnd.ms-office.activeX+xml" PartName="/xl/activeX/activeX11.xml"/>
  <Override ContentType="application/vnd.ms-office.activeX" PartName="/xl/activeX/activeX11.bin"/>
  <Override ContentType="application/vnd.ms-office.activeX+xml" PartName="/xl/activeX/activeX12.xml"/>
  <Override ContentType="application/vnd.ms-office.activeX" PartName="/xl/activeX/activeX12.bin"/>
  <Override ContentType="application/vnd.ms-office.activeX+xml" PartName="/xl/activeX/activeX13.xml"/>
  <Override ContentType="application/vnd.ms-office.activeX" PartName="/xl/activeX/activeX13.bin"/>
  <Override ContentType="application/vnd.ms-office.activeX+xml" PartName="/xl/activeX/activeX14.xml"/>
  <Override ContentType="application/vnd.ms-office.activeX" PartName="/xl/activeX/activeX14.bin"/>
  <Override ContentType="application/vnd.ms-office.activeX+xml" PartName="/xl/activeX/activeX15.xml"/>
  <Override ContentType="application/vnd.ms-office.activeX" PartName="/xl/activeX/activeX15.bin"/>
  <Override ContentType="application/vnd.ms-office.activeX+xml" PartName="/xl/activeX/activeX16.xml"/>
  <Override ContentType="application/vnd.ms-office.activeX" PartName="/xl/activeX/activeX16.bin"/>
  <Override ContentType="application/vnd.ms-office.activeX+xml" PartName="/xl/activeX/activeX17.xml"/>
  <Override ContentType="application/vnd.ms-office.activeX" PartName="/xl/activeX/activeX17.bin"/>
  <Override ContentType="application/vnd.ms-office.activeX+xml" PartName="/xl/activeX/activeX18.xml"/>
  <Override ContentType="application/vnd.ms-office.activeX" PartName="/xl/activeX/activeX18.bin"/>
  <Override ContentType="application/vnd.ms-office.activeX+xml" PartName="/xl/activeX/activeX19.xml"/>
  <Override ContentType="application/vnd.ms-office.activeX" PartName="/xl/activeX/activeX19.bin"/>
  <Override ContentType="application/vnd.ms-office.activeX+xml" PartName="/xl/activeX/activeX20.xml"/>
  <Override ContentType="application/vnd.ms-office.activeX" PartName="/xl/activeX/activeX20.bin"/>
  <Override ContentType="application/vnd.ms-office.activeX+xml" PartName="/xl/activeX/activeX21.xml"/>
  <Override ContentType="application/vnd.ms-office.activeX" PartName="/xl/activeX/activeX21.bin"/>
  <Override ContentType="application/vnd.ms-office.activeX+xml" PartName="/xl/activeX/activeX22.xml"/>
  <Override ContentType="application/vnd.ms-office.activeX" PartName="/xl/activeX/activeX22.bin"/>
  <Override ContentType="application/vnd.ms-office.activeX+xml" PartName="/xl/activeX/activeX23.xml"/>
  <Override ContentType="application/vnd.ms-office.activeX" PartName="/xl/activeX/activeX23.bin"/>
  <Override ContentType="application/vnd.ms-office.activeX+xml" PartName="/xl/activeX/activeX24.xml"/>
  <Override ContentType="application/vnd.ms-office.activeX" PartName="/xl/activeX/activeX24.bin"/>
  <Override ContentType="application/vnd.ms-office.activeX+xml" PartName="/xl/activeX/activeX25.xml"/>
  <Override ContentType="application/vnd.ms-office.activeX" PartName="/xl/activeX/activeX25.bin"/>
  <Override ContentType="application/vnd.ms-office.activeX+xml" PartName="/xl/activeX/activeX26.xml"/>
  <Override ContentType="application/vnd.ms-office.activeX" PartName="/xl/activeX/activeX26.bin"/>
  <Override ContentType="application/vnd.ms-office.activeX+xml" PartName="/xl/activeX/activeX27.xml"/>
  <Override ContentType="application/vnd.ms-office.activeX" PartName="/xl/activeX/activeX27.bin"/>
  <Override ContentType="application/vnd.ms-office.activeX+xml" PartName="/xl/activeX/activeX28.xml"/>
  <Override ContentType="application/vnd.ms-office.activeX" PartName="/xl/activeX/activeX28.bin"/>
  <Override ContentType="application/vnd.ms-office.activeX+xml" PartName="/xl/activeX/activeX29.xml"/>
  <Override ContentType="application/vnd.ms-office.activeX" PartName="/xl/activeX/activeX29.bin"/>
  <Override ContentType="application/vnd.ms-office.activeX+xml" PartName="/xl/activeX/activeX30.xml"/>
  <Override ContentType="application/vnd.ms-office.activeX" PartName="/xl/activeX/activeX30.bin"/>
  <Override ContentType="application/vnd.ms-office.activeX+xml" PartName="/xl/activeX/activeX31.xml"/>
  <Override ContentType="application/vnd.ms-office.activeX" PartName="/xl/activeX/activeX31.bin"/>
  <Override ContentType="application/vnd.ms-office.activeX+xml" PartName="/xl/activeX/activeX32.xml"/>
  <Override ContentType="application/vnd.ms-office.activeX" PartName="/xl/activeX/activeX32.bin"/>
  <Override ContentType="application/vnd.ms-office.activeX+xml" PartName="/xl/activeX/activeX33.xml"/>
  <Override ContentType="application/vnd.ms-office.activeX" PartName="/xl/activeX/activeX33.bin"/>
  <Override ContentType="application/vnd.ms-office.activeX+xml" PartName="/xl/activeX/activeX34.xml"/>
  <Override ContentType="application/vnd.ms-office.activeX" PartName="/xl/activeX/activeX34.bin"/>
  <Override ContentType="application/vnd.ms-office.activeX+xml" PartName="/xl/activeX/activeX35.xml"/>
  <Override ContentType="application/vnd.ms-office.activeX" PartName="/xl/activeX/activeX35.bin"/>
  <Override ContentType="application/vnd.ms-office.activeX+xml" PartName="/xl/activeX/activeX36.xml"/>
  <Override ContentType="application/vnd.ms-office.activeX" PartName="/xl/activeX/activeX36.bin"/>
  <Override ContentType="application/vnd.ms-office.activeX+xml" PartName="/xl/activeX/activeX37.xml"/>
  <Override ContentType="application/vnd.ms-office.activeX" PartName="/xl/activeX/activeX37.bin"/>
  <Override ContentType="application/vnd.ms-office.activeX+xml" PartName="/xl/activeX/activeX38.xml"/>
  <Override ContentType="application/vnd.ms-office.activeX" PartName="/xl/activeX/activeX38.bin"/>
  <Override ContentType="application/vnd.ms-office.activeX+xml" PartName="/xl/activeX/activeX39.xml"/>
  <Override ContentType="application/vnd.ms-office.activeX" PartName="/xl/activeX/activeX39.bin"/>
  <Override ContentType="application/vnd.ms-office.activeX+xml" PartName="/xl/activeX/activeX40.xml"/>
  <Override ContentType="application/vnd.ms-office.activeX" PartName="/xl/activeX/activeX40.bin"/>
  <Override ContentType="application/vnd.ms-office.activeX+xml" PartName="/xl/activeX/activeX41.xml"/>
  <Override ContentType="application/vnd.ms-office.activeX" PartName="/xl/activeX/activeX41.bin"/>
  <Override ContentType="application/vnd.ms-office.activeX+xml" PartName="/xl/activeX/activeX42.xml"/>
  <Override ContentType="application/vnd.ms-office.activeX" PartName="/xl/activeX/activeX42.bin"/>
  <Override ContentType="application/vnd.ms-office.activeX+xml" PartName="/xl/activeX/activeX43.xml"/>
  <Override ContentType="application/vnd.ms-office.activeX" PartName="/xl/activeX/activeX43.bin"/>
  <Override ContentType="application/vnd.ms-office.activeX+xml" PartName="/xl/activeX/activeX44.xml"/>
  <Override ContentType="application/vnd.ms-office.activeX" PartName="/xl/activeX/activeX44.bin"/>
  <Override ContentType="application/vnd.ms-office.activeX+xml" PartName="/xl/activeX/activeX45.xml"/>
  <Override ContentType="application/vnd.ms-office.activeX" PartName="/xl/activeX/activeX45.bin"/>
  <Override ContentType="application/vnd.ms-office.activeX+xml" PartName="/xl/activeX/activeX46.xml"/>
  <Override ContentType="application/vnd.ms-office.activeX" PartName="/xl/activeX/activeX46.bin"/>
  <Override ContentType="application/vnd.ms-office.activeX+xml" PartName="/xl/activeX/activeX47.xml"/>
  <Override ContentType="application/vnd.ms-office.activeX" PartName="/xl/activeX/activeX47.bin"/>
  <Override ContentType="application/vnd.ms-office.activeX+xml" PartName="/xl/activeX/activeX48.xml"/>
  <Override ContentType="application/vnd.ms-office.activeX" PartName="/xl/activeX/activeX48.bin"/>
  <Override ContentType="application/vnd.ms-office.activeX+xml" PartName="/xl/activeX/activeX49.xml"/>
  <Override ContentType="application/vnd.ms-office.activeX" PartName="/xl/activeX/activeX49.bin"/>
  <Override ContentType="application/vnd.ms-office.activeX+xml" PartName="/xl/activeX/activeX50.xml"/>
  <Override ContentType="application/vnd.ms-office.activeX" PartName="/xl/activeX/activeX50.bin"/>
  <Override ContentType="application/vnd.ms-office.activeX+xml" PartName="/xl/activeX/activeX51.xml"/>
  <Override ContentType="application/vnd.ms-office.activeX" PartName="/xl/activeX/activeX51.bin"/>
  <Override ContentType="application/vnd.ms-office.activeX+xml" PartName="/xl/activeX/activeX52.xml"/>
  <Override ContentType="application/vnd.ms-office.activeX" PartName="/xl/activeX/activeX52.bin"/>
  <Override ContentType="application/vnd.ms-office.activeX+xml" PartName="/xl/activeX/activeX53.xml"/>
  <Override ContentType="application/vnd.ms-office.activeX" PartName="/xl/activeX/activeX53.bin"/>
  <Override ContentType="application/vnd.ms-office.activeX+xml" PartName="/xl/activeX/activeX54.xml"/>
  <Override ContentType="application/vnd.ms-office.activeX" PartName="/xl/activeX/activeX54.bin"/>
  <Override ContentType="application/vnd.ms-office.activeX+xml" PartName="/xl/activeX/activeX55.xml"/>
  <Override ContentType="application/vnd.ms-office.activeX" PartName="/xl/activeX/activeX55.bin"/>
  <Override ContentType="application/vnd.ms-office.activeX+xml" PartName="/xl/activeX/activeX56.xml"/>
  <Override ContentType="application/vnd.ms-office.activeX" PartName="/xl/activeX/activeX56.bin"/>
  <Override ContentType="application/vnd.ms-office.activeX+xml" PartName="/xl/activeX/activeX57.xml"/>
  <Override ContentType="application/vnd.ms-office.activeX" PartName="/xl/activeX/activeX57.bin"/>
  <Override ContentType="application/vnd.ms-office.activeX+xml" PartName="/xl/activeX/activeX58.xml"/>
  <Override ContentType="application/vnd.ms-office.activeX" PartName="/xl/activeX/activeX58.bin"/>
  <Override ContentType="application/vnd.ms-office.activeX+xml" PartName="/xl/activeX/activeX59.xml"/>
  <Override ContentType="application/vnd.ms-office.activeX" PartName="/xl/activeX/activeX59.bin"/>
  <Override ContentType="application/vnd.ms-office.activeX+xml" PartName="/xl/activeX/activeX60.xml"/>
  <Override ContentType="application/vnd.ms-office.activeX" PartName="/xl/activeX/activeX60.bin"/>
  <Override ContentType="application/vnd.ms-office.activeX+xml" PartName="/xl/activeX/activeX61.xml"/>
  <Override ContentType="application/vnd.ms-office.activeX" PartName="/xl/activeX/activeX61.bin"/>
  <Override ContentType="application/vnd.ms-office.activeX+xml" PartName="/xl/activeX/activeX62.xml"/>
  <Override ContentType="application/vnd.ms-office.activeX" PartName="/xl/activeX/activeX62.bin"/>
  <Override ContentType="application/vnd.ms-office.activeX+xml" PartName="/xl/activeX/activeX63.xml"/>
  <Override ContentType="application/vnd.ms-office.activeX" PartName="/xl/activeX/activeX63.bin"/>
  <Override ContentType="application/vnd.ms-office.activeX+xml" PartName="/xl/activeX/activeX64.xml"/>
  <Override ContentType="application/vnd.ms-office.activeX" PartName="/xl/activeX/activeX64.bin"/>
  <Override ContentType="application/vnd.ms-office.activeX+xml" PartName="/xl/activeX/activeX65.xml"/>
  <Override ContentType="application/vnd.ms-office.activeX" PartName="/xl/activeX/activeX65.bin"/>
  <Override ContentType="application/vnd.ms-office.activeX+xml" PartName="/xl/activeX/activeX66.xml"/>
  <Override ContentType="application/vnd.ms-office.activeX" PartName="/xl/activeX/activeX66.bin"/>
  <Override ContentType="application/vnd.ms-office.activeX+xml" PartName="/xl/activeX/activeX67.xml"/>
  <Override ContentType="application/vnd.ms-office.activeX" PartName="/xl/activeX/activeX67.bin"/>
  <Override ContentType="application/vnd.ms-office.activeX+xml" PartName="/xl/activeX/activeX68.xml"/>
  <Override ContentType="application/vnd.ms-office.activeX" PartName="/xl/activeX/activeX68.bin"/>
  <Override ContentType="application/vnd.ms-office.activeX+xml" PartName="/xl/activeX/activeX69.xml"/>
  <Override ContentType="application/vnd.ms-office.activeX" PartName="/xl/activeX/activeX69.bin"/>
  <Override ContentType="application/vnd.ms-office.activeX+xml" PartName="/xl/activeX/activeX70.xml"/>
  <Override ContentType="application/vnd.ms-office.activeX" PartName="/xl/activeX/activeX70.bin"/>
  <Override ContentType="application/vnd.ms-office.activeX+xml" PartName="/xl/activeX/activeX71.xml"/>
  <Override ContentType="application/vnd.ms-office.activeX" PartName="/xl/activeX/activeX71.bin"/>
  <Override ContentType="application/vnd.ms-office.activeX+xml" PartName="/xl/activeX/activeX72.xml"/>
  <Override ContentType="application/vnd.ms-office.activeX" PartName="/xl/activeX/activeX72.bin"/>
  <Override ContentType="application/vnd.ms-office.activeX+xml" PartName="/xl/activeX/activeX73.xml"/>
  <Override ContentType="application/vnd.ms-office.activeX" PartName="/xl/activeX/activeX73.bin"/>
  <Override ContentType="application/vnd.ms-office.activeX+xml" PartName="/xl/activeX/activeX74.xml"/>
  <Override ContentType="application/vnd.ms-office.activeX" PartName="/xl/activeX/activeX74.bin"/>
  <Override ContentType="application/vnd.ms-office.activeX+xml" PartName="/xl/activeX/activeX75.xml"/>
  <Override ContentType="application/vnd.ms-office.activeX" PartName="/xl/activeX/activeX75.bin"/>
  <Override ContentType="application/vnd.ms-office.activeX+xml" PartName="/xl/activeX/activeX76.xml"/>
  <Override ContentType="application/vnd.ms-office.activeX" PartName="/xl/activeX/activeX76.bin"/>
  <Override ContentType="application/vnd.ms-office.activeX+xml" PartName="/xl/activeX/activeX77.xml"/>
  <Override ContentType="application/vnd.ms-office.activeX" PartName="/xl/activeX/activeX77.bin"/>
  <Override ContentType="application/vnd.ms-office.activeX+xml" PartName="/xl/activeX/activeX78.xml"/>
  <Override ContentType="application/vnd.ms-office.activeX" PartName="/xl/activeX/activeX78.bin"/>
  <Override ContentType="application/vnd.ms-office.activeX+xml" PartName="/xl/activeX/activeX79.xml"/>
  <Override ContentType="application/vnd.ms-office.activeX" PartName="/xl/activeX/activeX79.bin"/>
  <Override ContentType="application/vnd.ms-office.activeX+xml" PartName="/xl/activeX/activeX80.xml"/>
  <Override ContentType="application/vnd.ms-office.activeX" PartName="/xl/activeX/activeX80.bin"/>
  <Override ContentType="application/vnd.ms-office.activeX+xml" PartName="/xl/activeX/activeX81.xml"/>
  <Override ContentType="application/vnd.ms-office.activeX" PartName="/xl/activeX/activeX81.bin"/>
  <Override ContentType="application/vnd.ms-office.activeX+xml" PartName="/xl/activeX/activeX82.xml"/>
  <Override ContentType="application/vnd.ms-office.activeX" PartName="/xl/activeX/activeX82.bin"/>
  <Override ContentType="application/vnd.ms-office.activeX+xml" PartName="/xl/activeX/activeX83.xml"/>
  <Override ContentType="application/vnd.ms-office.activeX" PartName="/xl/activeX/activeX83.bin"/>
  <Override ContentType="application/vnd.ms-office.activeX+xml" PartName="/xl/activeX/activeX84.xml"/>
  <Override ContentType="application/vnd.ms-office.activeX" PartName="/xl/activeX/activeX84.bin"/>
  <Override ContentType="application/vnd.ms-office.activeX+xml" PartName="/xl/activeX/activeX85.xml"/>
  <Override ContentType="application/vnd.ms-office.activeX" PartName="/xl/activeX/activeX85.bin"/>
  <Override ContentType="application/vnd.ms-office.activeX+xml" PartName="/xl/activeX/activeX86.xml"/>
  <Override ContentType="application/vnd.ms-office.activeX" PartName="/xl/activeX/activeX86.bin"/>
  <Override ContentType="application/vnd.ms-office.activeX+xml" PartName="/xl/activeX/activeX87.xml"/>
  <Override ContentType="application/vnd.ms-office.activeX" PartName="/xl/activeX/activeX87.bin"/>
  <Override ContentType="application/vnd.ms-office.activeX+xml" PartName="/xl/activeX/activeX88.xml"/>
  <Override ContentType="application/vnd.ms-office.activeX" PartName="/xl/activeX/activeX88.bin"/>
  <Override ContentType="application/vnd.ms-office.activeX+xml" PartName="/xl/activeX/activeX89.xml"/>
  <Override ContentType="application/vnd.ms-office.activeX" PartName="/xl/activeX/activeX89.bin"/>
  <Override ContentType="application/vnd.ms-office.activeX+xml" PartName="/xl/activeX/activeX90.xml"/>
  <Override ContentType="application/vnd.ms-office.activeX" PartName="/xl/activeX/activeX90.bin"/>
  <Override ContentType="application/vnd.ms-office.activeX+xml" PartName="/xl/activeX/activeX91.xml"/>
  <Override ContentType="application/vnd.ms-office.activeX" PartName="/xl/activeX/activeX91.bin"/>
  <Override ContentType="application/vnd.ms-office.activeX+xml" PartName="/xl/activeX/activeX92.xml"/>
  <Override ContentType="application/vnd.ms-office.activeX" PartName="/xl/activeX/activeX92.bin"/>
  <Override ContentType="application/vnd.ms-office.activeX+xml" PartName="/xl/activeX/activeX93.xml"/>
  <Override ContentType="application/vnd.ms-office.activeX" PartName="/xl/activeX/activeX93.bin"/>
  <Override ContentType="application/vnd.ms-office.activeX+xml" PartName="/xl/activeX/activeX94.xml"/>
  <Override ContentType="application/vnd.ms-office.activeX" PartName="/xl/activeX/activeX94.bin"/>
  <Override ContentType="application/vnd.ms-office.activeX+xml" PartName="/xl/activeX/activeX95.xml"/>
  <Override ContentType="application/vnd.ms-office.activeX" PartName="/xl/activeX/activeX95.bin"/>
  <Override ContentType="application/vnd.ms-office.activeX+xml" PartName="/xl/activeX/activeX96.xml"/>
  <Override ContentType="application/vnd.ms-office.activeX" PartName="/xl/activeX/activeX96.bin"/>
  <Override ContentType="application/vnd.ms-office.activeX+xml" PartName="/xl/activeX/activeX97.xml"/>
  <Override ContentType="application/vnd.ms-office.activeX" PartName="/xl/activeX/activeX97.bin"/>
  <Override ContentType="application/vnd.ms-office.activeX+xml" PartName="/xl/activeX/activeX98.xml"/>
  <Override ContentType="application/vnd.ms-office.activeX" PartName="/xl/activeX/activeX98.bin"/>
  <Override ContentType="application/vnd.ms-office.activeX+xml" PartName="/xl/activeX/activeX99.xml"/>
  <Override ContentType="application/vnd.ms-office.activeX" PartName="/xl/activeX/activeX99.bin"/>
  <Override ContentType="application/vnd.ms-office.activeX+xml" PartName="/xl/activeX/activeX100.xml"/>
  <Override ContentType="application/vnd.ms-office.activeX" PartName="/xl/activeX/activeX100.bin"/>
  <Override ContentType="application/vnd.ms-office.activeX+xml" PartName="/xl/activeX/activeX101.xml"/>
  <Override ContentType="application/vnd.ms-office.activeX" PartName="/xl/activeX/activeX101.bin"/>
  <Override ContentType="application/vnd.ms-office.activeX+xml" PartName="/xl/activeX/activeX102.xml"/>
  <Override ContentType="application/vnd.ms-office.activeX" PartName="/xl/activeX/activeX102.bin"/>
  <Override ContentType="application/vnd.ms-office.activeX+xml" PartName="/xl/activeX/activeX103.xml"/>
  <Override ContentType="application/vnd.ms-office.activeX" PartName="/xl/activeX/activeX103.bin"/>
  <Override ContentType="application/vnd.ms-office.activeX+xml" PartName="/xl/activeX/activeX104.xml"/>
  <Override ContentType="application/vnd.ms-office.activeX" PartName="/xl/activeX/activeX104.bin"/>
  <Override ContentType="application/vnd.ms-office.activeX+xml" PartName="/xl/activeX/activeX105.xml"/>
  <Override ContentType="application/vnd.ms-office.activeX" PartName="/xl/activeX/activeX105.bin"/>
  <Override ContentType="application/vnd.ms-office.activeX+xml" PartName="/xl/activeX/activeX106.xml"/>
  <Override ContentType="application/vnd.ms-office.activeX" PartName="/xl/activeX/activeX106.bin"/>
  <Override ContentType="application/vnd.ms-office.activeX+xml" PartName="/xl/activeX/activeX107.xml"/>
  <Override ContentType="application/vnd.ms-office.activeX" PartName="/xl/activeX/activeX107.bin"/>
  <Override ContentType="application/vnd.ms-office.activeX+xml" PartName="/xl/activeX/activeX108.xml"/>
  <Override ContentType="application/vnd.ms-office.activeX" PartName="/xl/activeX/activeX108.bin"/>
  <Override ContentType="application/vnd.ms-office.activeX+xml" PartName="/xl/activeX/activeX109.xml"/>
  <Override ContentType="application/vnd.ms-office.activeX" PartName="/xl/activeX/activeX109.bin"/>
  <Override ContentType="application/vnd.ms-office.activeX+xml" PartName="/xl/activeX/activeX110.xml"/>
  <Override ContentType="application/vnd.ms-office.activeX" PartName="/xl/activeX/activeX110.bin"/>
  <Override ContentType="application/vnd.ms-office.activeX+xml" PartName="/xl/activeX/activeX111.xml"/>
  <Override ContentType="application/vnd.ms-office.activeX" PartName="/xl/activeX/activeX111.bin"/>
  <Override ContentType="application/vnd.ms-office.activeX+xml" PartName="/xl/activeX/activeX112.xml"/>
  <Override ContentType="application/vnd.ms-office.activeX" PartName="/xl/activeX/activeX112.bin"/>
  <Override ContentType="application/vnd.ms-office.activeX+xml" PartName="/xl/activeX/activeX113.xml"/>
  <Override ContentType="application/vnd.ms-office.activeX" PartName="/xl/activeX/activeX113.bin"/>
  <Override ContentType="application/vnd.ms-office.activeX+xml" PartName="/xl/activeX/activeX114.xml"/>
  <Override ContentType="application/vnd.ms-office.activeX" PartName="/xl/activeX/activeX114.bin"/>
  <Override ContentType="application/vnd.ms-office.activeX+xml" PartName="/xl/activeX/activeX115.xml"/>
  <Override ContentType="application/vnd.ms-office.activeX" PartName="/xl/activeX/activeX115.bin"/>
  <Override ContentType="application/vnd.ms-office.activeX+xml" PartName="/xl/activeX/activeX116.xml"/>
  <Override ContentType="application/vnd.ms-office.activeX" PartName="/xl/activeX/activeX116.bin"/>
  <Override ContentType="application/vnd.ms-office.activeX+xml" PartName="/xl/activeX/activeX117.xml"/>
  <Override ContentType="application/vnd.ms-office.activeX" PartName="/xl/activeX/activeX117.bin"/>
  <Override ContentType="application/vnd.ms-office.activeX+xml" PartName="/xl/activeX/activeX118.xml"/>
  <Override ContentType="application/vnd.ms-office.activeX" PartName="/xl/activeX/activeX118.bin"/>
  <Override ContentType="application/vnd.ms-office.activeX+xml" PartName="/xl/activeX/activeX119.xml"/>
  <Override ContentType="application/vnd.ms-office.activeX" PartName="/xl/activeX/activeX119.bin"/>
  <Override ContentType="application/vnd.ms-office.activeX+xml" PartName="/xl/activeX/activeX120.xml"/>
  <Override ContentType="application/vnd.ms-office.activeX" PartName="/xl/activeX/activeX120.bin"/>
  <Override ContentType="application/vnd.ms-office.activeX+xml" PartName="/xl/activeX/activeX121.xml"/>
  <Override ContentType="application/vnd.ms-office.activeX" PartName="/xl/activeX/activeX121.bin"/>
  <Override ContentType="application/vnd.ms-office.activeX+xml" PartName="/xl/activeX/activeX122.xml"/>
  <Override ContentType="application/vnd.ms-office.activeX" PartName="/xl/activeX/activeX122.bin"/>
  <Override ContentType="application/vnd.ms-office.activeX+xml" PartName="/xl/activeX/activeX123.xml"/>
  <Override ContentType="application/vnd.ms-office.activeX" PartName="/xl/activeX/activeX123.bin"/>
  <Override ContentType="application/vnd.ms-office.activeX+xml" PartName="/xl/activeX/activeX124.xml"/>
  <Override ContentType="application/vnd.ms-office.activeX" PartName="/xl/activeX/activeX124.bin"/>
  <Override ContentType="application/vnd.openxmlformats-officedocument.spreadsheetml.pivotTable+xml" PartName="/xl/pivotTables/pivotTable1.xml"/>
  <Override ContentType="application/vnd.openxmlformats-officedocument.spreadsheetml.table+xml" PartName="/xl/tables/table1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ms-excel.attachedToolbars" PartName="/xl/attachedToolbars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comments+xml" PartName="/xl/comments52.xml"/>
  <Override ContentType="application/vnd.openxmlformats-officedocument.vmlDrawing" PartName="/xl/drawings/vmldrawing52.vml"/>
  <Override ContentType="application/vnd.openxmlformats-officedocument.spreadsheetml.worksheet+xml" PartName="/xl/worksheets/sheet53.xml"/>
  <Override ContentType="application/vnd.openxmlformats-officedocument.spreadsheetml.comments+xml" PartName="/xl/comments53.xml"/>
  <Override ContentType="application/vnd.openxmlformats-officedocument.vmlDrawing" PartName="/xl/drawings/vmldrawing53.v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ien.shannon\code\DESign\DESign_Sales_Excel_Add-In_2\DESign_Sales_Excel_Add-In_2\Resources\"/>
    </mc:Choice>
  </mc:AlternateContent>
  <bookViews>
    <workbookView xWindow="29145" yWindow="1035" windowWidth="20160" windowHeight="11700" tabRatio="634" firstSheet="5" activeTab="5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Additional Takeoff Info" sheetId="51" r:id="rId7"/>
    <sheet name="J(BLANK)" sheetId="21" r:id="rId8"/>
    <sheet name="Check List" sheetId="16" r:id="rId9"/>
    <sheet name="ProjectTypeLookup" sheetId="50" state="hidden" r:id="rId10"/>
    <sheet name="HighlightedCell" sheetId="49" state="hidden" r:id="rId11"/>
    <sheet name="J (1)" sheetId="52" r:id="rId19"/>
    <sheet name="J (2)" sheetId="53" r:id="rId20"/>
  </sheets>
  <functionGroups builtInGroupCount="18"/>
  <definedNames>
    <definedName name="BaseTypesList">INDIRECT("'Base Types'!$AK$4:$AK$1000")</definedName>
    <definedName name="_xlnm.Print_Area" localSheetId="0">'N (0)'!$A$1:$R$53</definedName>
    <definedName name="_xlnm.Print_Area" localSheetId="1">'J (0)'!$A$1:$AC$45</definedName>
    <definedName name="_xlnm.Print_Area" localSheetId="2">'B (0)'!$A$1:$M$50</definedName>
    <definedName name="_xlnm.Print_Area" localSheetId="3">'D (0)'!$A$1:$Q$53</definedName>
    <definedName name="_xlnm.Print_Area" localSheetId="4">'A (0)'!$A$1:$M$49</definedName>
    <definedName name="_xlnm.Print_Area" localSheetId="5">'Cover'!$A$1:$R$54</definedName>
    <definedName name="_xlnm.Print_Area" localSheetId="7">'J(BLANK)'!$A$1:$AC$45</definedName>
    <definedName name="_xlnm.Print_Area" localSheetId="8">'Check List'!$A$1:$F$47</definedName>
    <definedName name="_xlnm.Print_Area" localSheetId="11">'J(BLANK)'!$A$1:$AC$45</definedName>
    <definedName name="_xlnm.Print_Area" localSheetId="12">'J(BLANK)'!$A$1:$AC$45</definedName>
  </definedNames>
  <calcPr calcId="162913" fullCalcOnLoad="1"/>
  <pivotCaches>
    <pivotCache cacheId="3" r:id="rId12"/>
  </pivotCaches>
</workbook>
</file>

<file path=xl/comments1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 shape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 shape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52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53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sharedStrings.xml><?xml version="1.0" encoding="utf-8"?>
<sst xmlns="http://schemas.openxmlformats.org/spreadsheetml/2006/main" count="279" uniqueCount="279">
  <si>
    <r xmlns="http://schemas.openxmlformats.org/spreadsheetml/2006/main">
      <t>JOB NAME</t>
    </r>
    <r xmlns="http://schemas.openxmlformats.org/spreadsheetml/2006/main">
      <rPr>
        <sz val="12"/>
        <rFont val="Arial"/>
        <family val="2"/>
      </rPr>
      <t>:</t>
    </r>
  </si>
  <si>
    <t>DATE:</t>
  </si>
  <si>
    <r xmlns="http://schemas.openxmlformats.org/spreadsheetml/2006/main">
      <t>LOCATION</t>
    </r>
    <r xmlns="http://schemas.openxmlformats.org/spreadsheetml/2006/main">
      <rPr>
        <sz val="12"/>
        <rFont val="Arial"/>
        <family val="2"/>
      </rPr>
      <t>:</t>
    </r>
  </si>
  <si>
    <t>PAGE:</t>
  </si>
  <si>
    <t>of</t>
  </si>
  <si>
    <t>Percentage to add to Total Deck Sqs.</t>
  </si>
  <si>
    <t>SEQ</t>
  </si>
  <si>
    <t>TYPE</t>
  </si>
  <si>
    <t>WIDTH</t>
  </si>
  <si>
    <t>LGTH</t>
  </si>
  <si>
    <t>SQ'S</t>
  </si>
  <si>
    <t>Page Quadrant</t>
  </si>
  <si>
    <t>Percentage</t>
  </si>
  <si>
    <t>Multiplier</t>
  </si>
  <si>
    <t>TOTAL:</t>
  </si>
  <si>
    <t>SIZE</t>
  </si>
  <si>
    <t>H OR X</t>
  </si>
  <si>
    <t>ROWS</t>
  </si>
  <si>
    <t>TOTAL</t>
  </si>
  <si>
    <t>KB'S</t>
  </si>
  <si>
    <t>PCS</t>
  </si>
  <si>
    <t>SPLICE</t>
  </si>
  <si>
    <r xmlns="http://schemas.openxmlformats.org/spreadsheetml/2006/main">
      <t>DATE</t>
    </r>
    <r xmlns="http://schemas.openxmlformats.org/spreadsheetml/2006/main">
      <rPr>
        <sz val="12"/>
        <rFont val="Arial"/>
        <family val="2"/>
      </rPr>
      <t>:</t>
    </r>
  </si>
  <si>
    <t>MK</t>
  </si>
  <si>
    <t>QTY</t>
  </si>
  <si>
    <t>DESCRIPTION</t>
  </si>
  <si>
    <t xml:space="preserve">BASE
LENGTH</t>
  </si>
  <si>
    <t>TCXL</t>
  </si>
  <si>
    <t>TCXR</t>
  </si>
  <si>
    <t>SEAT DEPTH</t>
  </si>
  <si>
    <t>NO.</t>
  </si>
  <si>
    <t>UPLIFT</t>
  </si>
  <si>
    <t>LOAD INFO.</t>
  </si>
  <si>
    <t>LOAD 1</t>
  </si>
  <si>
    <t>LOAD 2</t>
  </si>
  <si>
    <t xml:space="preserve">CASE
NO.</t>
  </si>
  <si>
    <t>REMARKS</t>
  </si>
  <si>
    <t>NO</t>
  </si>
  <si>
    <t>LEFT</t>
  </si>
  <si>
    <t>RIGHT</t>
  </si>
  <si>
    <t>BCX's</t>
  </si>
  <si>
    <t>(PLF)</t>
  </si>
  <si>
    <t>CAT.</t>
  </si>
  <si>
    <t>POS.</t>
  </si>
  <si>
    <t>VALUE</t>
  </si>
  <si>
    <t>DISTANCE</t>
  </si>
  <si>
    <t/>
  </si>
  <si>
    <r xmlns="http://schemas.openxmlformats.org/spreadsheetml/2006/main">
      <t>NOTES</t>
    </r>
    <r xmlns="http://schemas.openxmlformats.org/spreadsheetml/2006/main">
      <rPr>
        <sz val="12"/>
        <rFont val="Arial"/>
        <family val="2"/>
      </rPr>
      <t>:</t>
    </r>
  </si>
  <si>
    <r xmlns="http://schemas.openxmlformats.org/spreadsheetml/2006/main">
      <t>JOB NAME:</t>
    </r>
    <r xmlns="http://schemas.openxmlformats.org/spreadsheetml/2006/main">
      <rPr>
        <sz val="12"/>
        <rFont val="Arial"/>
        <family val="2"/>
      </rPr>
      <t xml:space="preserve">         </t>
    </r>
  </si>
  <si>
    <t>LOCATION:</t>
  </si>
  <si>
    <r xmlns="http://schemas.openxmlformats.org/spreadsheetml/2006/main">
      <t>NOTES (Cont.)</t>
    </r>
    <r xmlns="http://schemas.openxmlformats.org/spreadsheetml/2006/main">
      <rPr>
        <sz val="12"/>
        <rFont val="Arial"/>
        <family val="2"/>
      </rPr>
      <t>:</t>
    </r>
  </si>
  <si>
    <t>*JOB TYPE:</t>
  </si>
  <si>
    <t>*</t>
  </si>
  <si>
    <t>&lt;</t>
  </si>
  <si>
    <t>FILE:</t>
  </si>
  <si>
    <t>MILEAGE:</t>
  </si>
  <si>
    <t>*DATE:</t>
  </si>
  <si>
    <r xmlns="http://schemas.openxmlformats.org/spreadsheetml/2006/main">
      <t>*JOB NAME:</t>
    </r>
    <r xmlns="http://schemas.openxmlformats.org/spreadsheetml/2006/main">
      <rPr>
        <sz val="11"/>
        <rFont val="Arial"/>
        <family val="2"/>
      </rPr>
      <t xml:space="preserve">         </t>
    </r>
  </si>
  <si>
    <t>*BID DATE:</t>
  </si>
  <si>
    <t>*TIME:</t>
  </si>
  <si>
    <t>ASAP</t>
  </si>
  <si>
    <t>*LOCATION:</t>
  </si>
  <si>
    <t>*TAKEOFF BY:</t>
  </si>
  <si>
    <t>*CUSTOMER:</t>
  </si>
  <si>
    <t>*DRAWING LOCATION:</t>
  </si>
  <si>
    <t>HOME</t>
  </si>
  <si>
    <t>*ESTIMATED DELIVERY:</t>
  </si>
  <si>
    <r xmlns="http://schemas.openxmlformats.org/spreadsheetml/2006/main">
      <t>*DRAWING DATE:</t>
    </r>
    <r xmlns="http://schemas.openxmlformats.org/spreadsheetml/2006/main">
      <rPr>
        <sz val="11"/>
        <rFont val="Arial"/>
        <family val="2"/>
      </rPr>
      <t xml:space="preserve">      </t>
    </r>
  </si>
  <si>
    <t>*NET UPLIFT:</t>
  </si>
  <si>
    <t>*JST SPCG:</t>
  </si>
  <si>
    <r xmlns="http://schemas.openxmlformats.org/spreadsheetml/2006/main">
      <t>*ADDENDUM NO:</t>
    </r>
    <r xmlns="http://schemas.openxmlformats.org/spreadsheetml/2006/main">
      <rPr>
        <sz val="11"/>
        <rFont val="Arial"/>
        <family val="2"/>
      </rPr>
      <t xml:space="preserve">           </t>
    </r>
  </si>
  <si>
    <t>*SPECS (YES / NO):</t>
  </si>
  <si>
    <t>*DEFL LIMIT:</t>
  </si>
  <si>
    <r xmlns="http://schemas.openxmlformats.org/spreadsheetml/2006/main">
      <t>*DRAWING #'s:</t>
    </r>
    <r xmlns="http://schemas.openxmlformats.org/spreadsheetml/2006/main">
      <rPr>
        <sz val="11"/>
        <rFont val="Arial"/>
        <family val="2"/>
      </rPr>
      <t xml:space="preserve">           </t>
    </r>
  </si>
  <si>
    <t>*ENGR. FIRM:</t>
  </si>
  <si>
    <r xmlns="http://schemas.openxmlformats.org/spreadsheetml/2006/main">
      <t>NOTES</t>
    </r>
    <r xmlns="http://schemas.openxmlformats.org/spreadsheetml/2006/main">
      <rPr>
        <sz val="11"/>
        <rFont val="Arial"/>
        <family val="2"/>
      </rPr>
      <t>:</t>
    </r>
  </si>
  <si>
    <t>ADDITIONAL MONEY:</t>
  </si>
  <si>
    <t>*BRIDGING TOTALS</t>
  </si>
  <si>
    <t>*DECK &amp; ACCESSORY TOTALS</t>
  </si>
  <si>
    <r xmlns="http://schemas.openxmlformats.org/spreadsheetml/2006/main">
      <t>*</t>
    </r>
    <r xmlns="http://schemas.openxmlformats.org/spreadsheetml/2006/main">
      <rPr>
        <b/>
        <sz val="12"/>
        <rFont val="Arial"/>
        <family val="2"/>
      </rPr>
      <t xml:space="preserve"> = Reqiured Info.</t>
    </r>
  </si>
  <si>
    <t>Last Updated: 9/29/2010</t>
  </si>
  <si>
    <t>32LH712/500</t>
  </si>
  <si>
    <t>Original Mark: 1</t>
  </si>
  <si>
    <t>18LH712/500</t>
  </si>
  <si>
    <t>Original Mark: 2</t>
  </si>
  <si>
    <t>28LH300/167</t>
  </si>
  <si>
    <t>Original Mark: 3</t>
  </si>
  <si>
    <t>Original Mark: 4</t>
  </si>
  <si>
    <t>Original Mark: 5</t>
  </si>
  <si>
    <t>Original Mark: 6</t>
  </si>
  <si>
    <t>Original Mark: 7</t>
  </si>
  <si>
    <t>28LH281/156</t>
  </si>
  <si>
    <t>Original Mark: 8</t>
  </si>
  <si>
    <t>24LH281/156</t>
  </si>
  <si>
    <t>Original Mark: 9</t>
  </si>
  <si>
    <t>24LH248/138</t>
  </si>
  <si>
    <t>Original Mark: 10</t>
  </si>
  <si>
    <t>Original Mark: 11</t>
  </si>
  <si>
    <t>Original Mark: 12</t>
  </si>
  <si>
    <t>18LH264/147</t>
  </si>
  <si>
    <t>Original Mark: 13</t>
  </si>
  <si>
    <t>Original Mark: 14</t>
  </si>
  <si>
    <t>Original Mark: 15</t>
  </si>
  <si>
    <t>Original Mark: 16</t>
  </si>
  <si>
    <t>Original Mark: 17</t>
  </si>
  <si>
    <t>Original Mark: 18</t>
  </si>
  <si>
    <t>Original Mark: 19</t>
  </si>
  <si>
    <t>Original Mark: 20</t>
  </si>
  <si>
    <t>Original Mark: 21</t>
  </si>
  <si>
    <t>Original Mark: 22</t>
  </si>
  <si>
    <t>28LH264/147</t>
  </si>
  <si>
    <t>Original Mark: 23</t>
  </si>
  <si>
    <t>28LH248/138</t>
  </si>
  <si>
    <t>Original Mark: 24</t>
  </si>
  <si>
    <t>Original Mark: 25</t>
  </si>
  <si>
    <t>34LH300/167</t>
  </si>
  <si>
    <t>Original Mark: 26</t>
  </si>
  <si>
    <t>Original Mark: 27</t>
  </si>
  <si>
    <t>Original Mark: 28</t>
  </si>
  <si>
    <t>Original Mark: 29</t>
  </si>
  <si>
    <t>34LH281/156</t>
  </si>
  <si>
    <t>Original Mark: 30</t>
  </si>
  <si>
    <t>Original Mark: 31</t>
  </si>
  <si>
    <t>Original Mark: 32</t>
  </si>
  <si>
    <t>Original Mark: 33</t>
  </si>
  <si>
    <t>34LH264/147</t>
  </si>
  <si>
    <t>Original Mark: 34</t>
  </si>
  <si>
    <t>34LH248/138</t>
  </si>
  <si>
    <t>Original Mark: 35</t>
  </si>
  <si>
    <t>Original Mark: 36</t>
  </si>
  <si>
    <t>Original Mark: 37</t>
  </si>
  <si>
    <t>Category</t>
  </si>
  <si>
    <t>Type</t>
  </si>
  <si>
    <t>Project Category</t>
  </si>
  <si>
    <t>Apartments/Condos</t>
  </si>
  <si>
    <t>Project Type:</t>
  </si>
  <si>
    <t>Bridge</t>
  </si>
  <si>
    <t>Commercial</t>
  </si>
  <si>
    <t>Bank</t>
  </si>
  <si>
    <t>Dormitories</t>
  </si>
  <si>
    <t>Reference</t>
  </si>
  <si>
    <t>Location in table to begin the list. Note that excel treats this differently in cells verse in data validation.</t>
  </si>
  <si>
    <t>Data Center/Clean Room</t>
  </si>
  <si>
    <t>Education</t>
  </si>
  <si>
    <t>Rows</t>
  </si>
  <si>
    <t xml:space="preserve">The number of rows to offset = the first row in the 'category' column that contains the selected category. </t>
  </si>
  <si>
    <t>Food/Beverage</t>
  </si>
  <si>
    <t>Elderly/Assisted Living</t>
  </si>
  <si>
    <t>Cols</t>
  </si>
  <si>
    <t>Columns</t>
  </si>
  <si>
    <t>Staying in the "ProjectTypes[Type]" Column</t>
  </si>
  <si>
    <t>Office</t>
  </si>
  <si>
    <t>Federal Facilities</t>
  </si>
  <si>
    <t>Height</t>
  </si>
  <si>
    <t xml:space="preserve"># Rows is equal to the number of inputs for the selected category. </t>
  </si>
  <si>
    <t>Retail</t>
  </si>
  <si>
    <t>Hotel/Motel</t>
  </si>
  <si>
    <t>Width</t>
  </si>
  <si>
    <t>Column</t>
  </si>
  <si>
    <t>Shopping Center/Strip Mall</t>
  </si>
  <si>
    <t>Industrial</t>
  </si>
  <si>
    <t>Supermarket/Convienience</t>
  </si>
  <si>
    <t>Laboratories</t>
  </si>
  <si>
    <t>Medical</t>
  </si>
  <si>
    <t>College/University</t>
  </si>
  <si>
    <t>Misc.</t>
  </si>
  <si>
    <t>K-12</t>
  </si>
  <si>
    <t>Public Buildings</t>
  </si>
  <si>
    <t>Library</t>
  </si>
  <si>
    <t>Recreation</t>
  </si>
  <si>
    <t>Misc. Education</t>
  </si>
  <si>
    <t>Religious &amp; Funeral</t>
  </si>
  <si>
    <t>Primary School</t>
  </si>
  <si>
    <t>Transportation</t>
  </si>
  <si>
    <t>Vocational School</t>
  </si>
  <si>
    <t>Utilities</t>
  </si>
  <si>
    <t>Military Facility</t>
  </si>
  <si>
    <t>Space Facility</t>
  </si>
  <si>
    <t>Manufacturing Bldg.</t>
  </si>
  <si>
    <t>Refrigerated Warehouse</t>
  </si>
  <si>
    <t>Warehouse</t>
  </si>
  <si>
    <t>Testing/Research/Development</t>
  </si>
  <si>
    <t>Clinical/Medical Office</t>
  </si>
  <si>
    <t>Hospital</t>
  </si>
  <si>
    <t>Nursing/Convalescent Center</t>
  </si>
  <si>
    <t>Misc. Stock Deck</t>
  </si>
  <si>
    <t>Capitol/Courthouse/City</t>
  </si>
  <si>
    <t>Fire/Police Station</t>
  </si>
  <si>
    <t>Prison/Jail</t>
  </si>
  <si>
    <t>Athletic Facility</t>
  </si>
  <si>
    <t>Beach/Marina Facility</t>
  </si>
  <si>
    <t>Convention &amp; Exhibit Center</t>
  </si>
  <si>
    <t>Indoor Arena</t>
  </si>
  <si>
    <t>Misc. Recreation</t>
  </si>
  <si>
    <t>Museum</t>
  </si>
  <si>
    <t>Social Club</t>
  </si>
  <si>
    <t>Stadium</t>
  </si>
  <si>
    <t>Swimming Pool</t>
  </si>
  <si>
    <t>Theater/Auditorium</t>
  </si>
  <si>
    <t>Aircraft Sales/Service</t>
  </si>
  <si>
    <t>Airline Terminal</t>
  </si>
  <si>
    <t>Parking Garage</t>
  </si>
  <si>
    <t>Passenger Terminal</t>
  </si>
  <si>
    <t>Vehical Sales/Service</t>
  </si>
  <si>
    <t>Dry Waste Treatment Plant</t>
  </si>
  <si>
    <t>Hazardous Waste Disposal</t>
  </si>
  <si>
    <t>Heating &amp; Cooling Plants</t>
  </si>
  <si>
    <t>Waste Water Treatment</t>
  </si>
  <si>
    <t>ESTIMATING - FINAL CHECK LIST</t>
  </si>
  <si>
    <r xmlns="http://schemas.openxmlformats.org/spreadsheetml/2006/main">
      <t>Date:</t>
    </r>
    <r xmlns="http://schemas.openxmlformats.org/spreadsheetml/2006/main">
      <rPr>
        <sz val="10"/>
        <rFont val="Arial"/>
        <family val="2"/>
      </rPr>
      <t xml:space="preserve">  </t>
    </r>
  </si>
  <si>
    <t>Estimator:</t>
  </si>
  <si>
    <r xmlns="http://schemas.openxmlformats.org/spreadsheetml/2006/main">
      <t>Job Name:</t>
    </r>
    <r xmlns="http://schemas.openxmlformats.org/spreadsheetml/2006/main">
      <rPr>
        <sz val="10"/>
        <rFont val="Arial"/>
        <family val="2"/>
      </rPr>
      <t xml:space="preserve">  </t>
    </r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</si>
  <si>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</si>
  <si>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</si>
  <si>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</si>
  <si>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</si>
  <si>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</si>
  <si>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</si>
  <si>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</si>
  <si>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</si>
  <si>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</si>
  <si>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</si>
  <si>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</si>
  <si>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</si>
  <si>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</si>
  <si>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</si>
  <si>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</si>
  <si>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</si>
  <si>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</si>
  <si>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</si>
  <si>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</si>
  <si>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</si>
  <si>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</si>
  <si>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</si>
  <si>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</si>
  <si>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</si>
  <si>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</si>
  <si>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</si>
  <si>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t>Mark</t>
  </si>
  <si>
    <t>Mf</t>
  </si>
  <si>
    <t>Min I</t>
  </si>
  <si>
    <t>SCREWS</t>
  </si>
  <si>
    <t>FLAT PLATE</t>
  </si>
  <si>
    <t>RIDGE / VALLEY</t>
  </si>
  <si>
    <t>SUMP PANS</t>
  </si>
  <si>
    <t>CELL CLOSURE</t>
  </si>
  <si>
    <t>SIDE CLOSURE</t>
  </si>
  <si>
    <t>COLUMN CLOSURE</t>
  </si>
  <si>
    <t>SETS</t>
  </si>
  <si>
    <t>POUR STOP</t>
  </si>
  <si>
    <t>OTHER</t>
  </si>
  <si>
    <t>Original Mark: 38</t>
  </si>
  <si>
    <t>Original Mark: 39</t>
  </si>
  <si>
    <t>Original Mark: 40</t>
  </si>
  <si>
    <t>Original Mark: 41</t>
  </si>
  <si>
    <t>Original Mark: 42</t>
  </si>
  <si>
    <t>Original Mark: 43</t>
  </si>
  <si>
    <t>Original Mark: 44</t>
  </si>
  <si>
    <t>Original Mark: 45</t>
  </si>
  <si>
    <t>Original Mark: 46</t>
  </si>
  <si>
    <t>Original Mark: 47</t>
  </si>
  <si>
    <t>Original Mark: 48</t>
  </si>
  <si>
    <t>44G8N14.6K</t>
  </si>
  <si>
    <t>Original Mark: 49</t>
  </si>
  <si>
    <t>44G-SP</t>
  </si>
  <si>
    <t>Original Mark: 50</t>
  </si>
  <si>
    <t>44G9N12K</t>
  </si>
  <si>
    <t>Original Mark: 51</t>
  </si>
  <si>
    <t>28G-SP</t>
  </si>
  <si>
    <t>Original Mark: 52</t>
  </si>
  <si>
    <t>44G8N14.3K</t>
  </si>
  <si>
    <t>Original Mark: 53</t>
  </si>
  <si>
    <t>Original Mark: 54</t>
  </si>
  <si>
    <t>44G9N13.7K</t>
  </si>
  <si>
    <t>Original Mark: 55</t>
  </si>
  <si>
    <t>Original Mark: 56</t>
  </si>
  <si>
    <t>44G8N13.7K</t>
  </si>
  <si>
    <t>Original Mark: 57</t>
  </si>
  <si>
    <t>Original Mark: 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</si>
</sst>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28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1" fillId="0" borderId="0"/>
  </cellStyleXfs>
  <cellXfs count="421">
    <xf numFmtId="0" applyNumberFormat="1" fontId="0" applyFont="1" fillId="0" applyFill="1" borderId="0" applyBorder="1" xfId="0" applyProtection="1"/>
    <xf numFmtId="43" applyNumberFormat="1" fontId="1" applyFont="1" fillId="0" applyFill="1" borderId="0" applyBorder="1" xfId="1" applyProtection="1"/>
    <xf numFmtId="3" applyNumberFormat="1" fontId="12" applyFont="1" fillId="0" applyFill="1" borderId="1" applyBorder="1" xfId="0" applyProtection="1" applyAlignment="1">
      <alignment horizontal="left" vertical="center" indent="1"/>
    </xf>
    <xf numFmtId="0" applyNumberFormat="1" fontId="5" applyFont="1" fillId="2" applyFill="1" borderId="2" applyBorder="1" xfId="0" applyProtection="1" applyAlignment="1">
      <alignment horizontal="center"/>
    </xf>
    <xf numFmtId="1" applyNumberFormat="1" fontId="6" applyFont="1" fillId="2" applyFill="1" borderId="3" applyBorder="1" xfId="0" applyProtection="1" applyAlignment="1">
      <alignment horizontal="center" vertical="center"/>
    </xf>
    <xf numFmtId="1" applyNumberFormat="1" fontId="5" applyFont="1" fillId="0" applyFill="1" borderId="4" applyBorder="1" xfId="0" applyProtection="1" applyAlignment="1">
      <alignment horizontal="right" vertical="center"/>
    </xf>
    <xf numFmtId="3" applyNumberFormat="1" fontId="12" applyFont="1" fillId="0" applyFill="1" borderId="1" applyBorder="1" xfId="0" applyProtection="1" applyAlignment="1">
      <alignment horizontal="center" vertical="center"/>
    </xf>
    <xf numFmtId="0" applyNumberFormat="1" fontId="0" applyFont="1" fillId="3" applyFill="1" borderId="0" applyBorder="1" xfId="0" applyProtection="1"/>
    <xf numFmtId="0" applyNumberFormat="1" fontId="0" applyFont="1" fillId="3" applyFill="1" borderId="0" applyBorder="1" xfId="0" applyProtection="1"/>
    <xf numFmtId="0" applyNumberFormat="1" fontId="0" applyFont="1" fillId="3" applyFill="1" borderId="0" applyBorder="1" xfId="0" applyProtection="1"/>
    <xf numFmtId="0" applyNumberFormat="1" fontId="3" applyFont="1" fillId="3" applyFill="1" borderId="0" applyBorder="1" xfId="0" applyProtection="1" applyAlignment="1">
      <alignment horizontal="right"/>
    </xf>
    <xf numFmtId="0" applyNumberFormat="1" fontId="2" applyFont="1" fillId="3" applyFill="1" borderId="0" applyBorder="1" xfId="0" applyProtection="1" applyAlignment="1">
      <alignment horizontal="right"/>
    </xf>
    <xf numFmtId="0" applyNumberFormat="1" fontId="3" applyFont="1" fillId="3" applyFill="1" borderId="0" applyBorder="1" xfId="0" applyProtection="1" applyAlignment="1">
      <alignment horizontal="right"/>
    </xf>
    <xf numFmtId="0" applyNumberFormat="1" fontId="2" applyFont="1" fillId="3" applyFill="1" borderId="0" applyBorder="1" xfId="0" applyProtection="1" applyAlignment="1">
      <alignment horizontal="left"/>
    </xf>
    <xf numFmtId="0" applyNumberFormat="1" fontId="0" applyFont="1" fillId="3" applyFill="1" borderId="0" applyBorder="1" xfId="0" applyProtection="1" applyAlignment="1">
      <alignment horizontal="center"/>
    </xf>
    <xf numFmtId="0" applyNumberFormat="1" fontId="2" applyFont="1" fillId="3" applyFill="1" borderId="0" applyBorder="1" xfId="0" applyProtection="1" applyAlignment="1">
      <alignment horizontal="center"/>
    </xf>
    <xf numFmtId="0" applyNumberFormat="1" fontId="2" applyFont="1" fillId="3" applyFill="1" borderId="0" applyBorder="1" xfId="0" applyProtection="1" applyAlignment="1">
      <alignment horizontal="right"/>
    </xf>
    <xf numFmtId="0" applyNumberFormat="1" fontId="0" applyFont="1" fillId="3" applyFill="1" borderId="0" applyBorder="1" xfId="0" applyProtection="1" applyAlignment="1">
      <alignment horizontal="center"/>
    </xf>
    <xf numFmtId="0" applyNumberFormat="1" fontId="3" applyFont="1" fillId="3" applyFill="1" borderId="0" applyBorder="1" xfId="0" applyProtection="1"/>
    <xf numFmtId="0" applyNumberFormat="1" fontId="3" applyFont="1" fillId="3" applyFill="1" borderId="0" applyBorder="1" xfId="0" applyProtection="1"/>
    <xf numFmtId="0" applyNumberFormat="1" fontId="3" applyFont="1" fillId="3" applyFill="1" borderId="0" applyBorder="1" xfId="0" applyProtection="1"/>
    <xf numFmtId="0" applyNumberFormat="1" fontId="3" applyFont="1" fillId="3" applyFill="1" borderId="0" applyBorder="1" xfId="0" applyProtection="1" applyAlignment="1">
      <alignment horizontal="center"/>
    </xf>
    <xf numFmtId="0" applyNumberFormat="1" fontId="5" applyFont="1" fillId="0" applyFill="1" borderId="5" applyBorder="1" xfId="0" applyProtection="1" applyAlignment="1">
      <alignment horizontal="right" vertical="center"/>
    </xf>
    <xf numFmtId="0" applyNumberFormat="1" fontId="5" applyFont="1" fillId="0" applyFill="1" borderId="6" applyBorder="1" xfId="0" applyProtection="1" applyAlignment="1">
      <alignment horizontal="right" vertical="center"/>
    </xf>
    <xf numFmtId="0" applyNumberFormat="1" fontId="4" applyFont="1" fillId="0" applyFill="1" borderId="7" applyBorder="1" xfId="0" applyProtection="1" applyAlignment="1">
      <alignment horizontal="center"/>
    </xf>
    <xf numFmtId="0" applyNumberFormat="1" fontId="5" applyFont="1" fillId="0" applyFill="1" borderId="1" applyBorder="1" xfId="0" applyProtection="1" applyAlignment="1">
      <alignment horizontal="center"/>
    </xf>
    <xf numFmtId="0" applyNumberFormat="1" fontId="10" applyFont="1" fillId="0" applyFill="1" borderId="8" applyBorder="1" xfId="0" applyAlignment="1">
      <alignment horizontal="center" vertical="center"/>
      <protection locked="0"/>
    </xf>
    <xf numFmtId="1" applyNumberFormat="1" fontId="5" applyFont="1" fillId="3" applyFill="1" borderId="6" applyBorder="1" xfId="0" applyProtection="1" applyAlignment="1">
      <alignment horizontal="center" vertical="center"/>
    </xf>
    <xf numFmtId="1" applyNumberFormat="1" fontId="6" applyFont="1" fillId="3" applyFill="1" borderId="6" applyBorder="1" xfId="0" applyProtection="1" applyAlignment="1">
      <alignment horizontal="center" vertical="center"/>
    </xf>
    <xf numFmtId="1" applyNumberFormat="1" fontId="3" applyFont="1" fillId="3" applyFill="1" borderId="6" applyBorder="1" xfId="0" applyProtection="1" applyAlignment="1">
      <alignment horizontal="center" vertical="center"/>
    </xf>
    <xf numFmtId="0" applyNumberFormat="1" fontId="6" applyFont="1" fillId="3" applyFill="1" borderId="6" applyBorder="1" xfId="0" applyProtection="1"/>
    <xf numFmtId="0" applyNumberFormat="1" fontId="8" applyFont="1" fillId="3" applyFill="1" borderId="6" applyBorder="1" xfId="0" applyProtection="1"/>
    <xf numFmtId="0" applyNumberFormat="1" fontId="7" applyFont="1" fillId="3" applyFill="1" borderId="6" applyBorder="1" xfId="0" applyProtection="1"/>
    <xf numFmtId="0" applyNumberFormat="1" fontId="9" applyFont="1" fillId="0" applyFill="1" borderId="5" applyBorder="1" xfId="0" applyProtection="1" applyAlignment="1">
      <alignment horizontal="center" vertical="center"/>
    </xf>
    <xf numFmtId="1" applyNumberFormat="1" fontId="11" applyFont="1" fillId="0" applyFill="1" borderId="9" applyBorder="1" xfId="0" applyProtection="1" applyAlignment="1">
      <alignment horizontal="left" vertical="center"/>
    </xf>
    <xf numFmtId="0" applyNumberFormat="1" fontId="5" applyFont="1" fillId="0" applyFill="1" borderId="2" applyBorder="1" xfId="0" applyProtection="1" applyAlignment="1">
      <alignment horizontal="center"/>
    </xf>
    <xf numFmtId="0" applyNumberFormat="1" fontId="10" applyFont="1" fillId="0" applyFill="1" borderId="8" applyBorder="1" xfId="0" applyAlignment="1">
      <alignment horizontal="center"/>
      <protection locked="0"/>
    </xf>
    <xf numFmtId="3" applyNumberFormat="1" fontId="10" applyFont="1" fillId="0" applyFill="1" borderId="10" applyBorder="1" xfId="0" applyAlignment="1">
      <alignment horizontal="center"/>
      <protection locked="0"/>
    </xf>
    <xf numFmtId="1" applyNumberFormat="1" fontId="8" applyFont="1" fillId="3" applyFill="1" borderId="6" applyBorder="1" xfId="0" applyProtection="1" applyAlignment="1">
      <alignment horizontal="center" vertical="center"/>
    </xf>
    <xf numFmtId="0" applyNumberFormat="1" fontId="11" applyFont="1" fillId="0" applyFill="1" borderId="6" applyBorder="1" xfId="0" applyProtection="1" applyAlignment="1">
      <alignment horizontal="left" vertical="center"/>
    </xf>
    <xf numFmtId="49" applyNumberFormat="1" fontId="10" applyFont="1" fillId="0" applyFill="1" borderId="8" applyBorder="1" xfId="0" applyAlignment="1">
      <alignment horizontal="center" vertical="center"/>
      <protection locked="0"/>
    </xf>
    <xf numFmtId="49" applyNumberFormat="1" fontId="13" applyFont="1" fillId="0" applyFill="1" borderId="11" applyBorder="1" xfId="0" applyAlignment="1">
      <alignment horizontal="center" vertical="center"/>
      <protection locked="0"/>
    </xf>
    <xf numFmtId="165" applyNumberFormat="1" fontId="10" applyFont="1" fillId="0" applyFill="1" borderId="12" applyBorder="1" xfId="0" applyAlignment="1">
      <alignment horizontal="right" vertical="center"/>
      <protection locked="0"/>
    </xf>
    <xf numFmtId="1" applyNumberFormat="1" fontId="10" applyFont="1" fillId="0" applyFill="1" borderId="13" applyBorder="1" xfId="0" applyAlignment="1">
      <alignment horizontal="left" vertical="center"/>
      <protection locked="0"/>
    </xf>
    <xf numFmtId="3" applyNumberFormat="1" fontId="10" applyFont="1" fillId="0" applyFill="1" borderId="11" applyBorder="1" xfId="0" applyAlignment="1">
      <alignment horizontal="center" vertical="center"/>
      <protection locked="0"/>
    </xf>
    <xf numFmtId="4" applyNumberFormat="1" fontId="11" applyFont="1" fillId="0" applyFill="1" borderId="10" applyBorder="1" xfId="0" applyProtection="1" applyAlignment="1">
      <alignment horizontal="center" vertical="center"/>
    </xf>
    <xf numFmtId="0" applyNumberFormat="1" fontId="0" applyFont="1" fillId="3" applyFill="1" borderId="0" applyBorder="1" xfId="0" applyProtection="1"/>
    <xf numFmtId="0" applyNumberFormat="1" fontId="3" applyFont="1" fillId="3" applyFill="1" borderId="0" applyBorder="1" xfId="0" applyProtection="1"/>
    <xf numFmtId="0" applyNumberFormat="1" fontId="5" applyFont="1" fillId="0" applyFill="1" borderId="5" applyBorder="1" xfId="0" applyProtection="1" applyAlignment="1">
      <alignment horizontal="right" vertical="center"/>
    </xf>
    <xf numFmtId="0" applyNumberFormat="1" fontId="5" applyFont="1" fillId="0" applyFill="1" borderId="2" applyBorder="1" xfId="0" applyProtection="1" applyAlignment="1">
      <alignment horizontal="center"/>
    </xf>
    <xf numFmtId="0" applyNumberFormat="1" fontId="5" applyFont="1" fillId="0" applyFill="1" borderId="4" applyBorder="1" xfId="0" applyProtection="1" applyAlignment="1">
      <alignment horizontal="center"/>
    </xf>
    <xf numFmtId="0" applyNumberFormat="1" fontId="10" applyFont="1" fillId="0" applyFill="1" borderId="11" applyBorder="1" xfId="0" applyAlignment="1">
      <alignment horizontal="center" vertical="center"/>
      <protection locked="0"/>
    </xf>
    <xf numFmtId="0" applyNumberFormat="1" fontId="13" applyFont="1" fillId="0" applyFill="1" borderId="11" applyBorder="1" xfId="0" applyAlignment="1">
      <alignment horizontal="center" vertical="center"/>
      <protection locked="0"/>
    </xf>
    <xf numFmtId="37" applyNumberFormat="1" fontId="10" applyFont="1" fillId="0" applyFill="1" borderId="13" applyBorder="1" xfId="1" applyAlignment="1">
      <alignment horizontal="center" vertical="center"/>
      <protection locked="0"/>
    </xf>
    <xf numFmtId="37" applyNumberFormat="1" fontId="11" applyFont="1" fillId="0" applyFill="1" borderId="10" applyBorder="1" xfId="1" applyProtection="1" applyAlignment="1">
      <alignment horizontal="center" vertical="center"/>
    </xf>
    <xf numFmtId="1" applyNumberFormat="1" fontId="10" applyFont="1" fillId="0" applyFill="1" borderId="14" applyBorder="1" xfId="0" applyAlignment="1">
      <alignment horizontal="center" vertical="center"/>
      <protection locked="0"/>
    </xf>
    <xf numFmtId="3" applyNumberFormat="1" fontId="10" applyFont="1" fillId="0" applyFill="1" borderId="3" applyBorder="1" xfId="0" applyAlignment="1">
      <alignment horizontal="center" vertical="center"/>
      <protection locked="0"/>
    </xf>
    <xf numFmtId="1" applyNumberFormat="1" fontId="10" applyFont="1" fillId="0" applyFill="1" borderId="3" applyBorder="1" xfId="0" applyAlignment="1">
      <alignment horizontal="center" vertical="center"/>
      <protection locked="0"/>
    </xf>
    <xf numFmtId="37" applyNumberFormat="1" fontId="12" applyFont="1" fillId="0" applyFill="1" borderId="15" applyBorder="1" xfId="1" applyProtection="1" applyAlignment="1">
      <alignment horizontal="center" vertical="center"/>
    </xf>
    <xf numFmtId="1" applyNumberFormat="1" fontId="11" applyFont="1" fillId="0" applyFill="1" borderId="5" applyBorder="1" xfId="0" applyProtection="1" applyAlignment="1">
      <alignment horizontal="center" vertical="center"/>
    </xf>
    <xf numFmtId="0" applyNumberFormat="1" fontId="4" applyFont="1" fillId="0" applyFill="1" borderId="16" applyBorder="1" xfId="0" applyProtection="1" applyAlignment="1">
      <alignment horizontal="center"/>
    </xf>
    <xf numFmtId="0" applyNumberFormat="1" fontId="4" applyFont="1" fillId="0" applyFill="1" borderId="17" applyBorder="1" xfId="0" applyProtection="1" applyAlignment="1">
      <alignment horizontal="center"/>
    </xf>
    <xf numFmtId="0" applyNumberFormat="1" fontId="4" applyFont="1" fillId="0" applyFill="1" borderId="9" applyBorder="1" xfId="0" applyProtection="1" applyAlignment="1">
      <alignment horizontal="center"/>
    </xf>
    <xf numFmtId="49" applyNumberFormat="1" fontId="10" applyFont="1" fillId="0" applyFill="1" borderId="18" applyBorder="1" xfId="0" applyAlignment="1">
      <alignment horizontal="center" vertical="center"/>
      <protection locked="0"/>
    </xf>
    <xf numFmtId="37" applyNumberFormat="1" fontId="10" applyFont="1" fillId="0" applyFill="1" borderId="18" applyBorder="1" xfId="1" applyAlignment="1">
      <alignment horizontal="center" vertical="center"/>
      <protection locked="0"/>
    </xf>
    <xf numFmtId="165" applyNumberFormat="1" fontId="10" applyFont="1" fillId="0" applyFill="1" borderId="13" applyBorder="1" xfId="0" applyAlignment="1">
      <alignment horizontal="right" vertical="center"/>
      <protection locked="0"/>
    </xf>
    <xf numFmtId="166" applyNumberFormat="1" fontId="10" applyFont="1" fillId="0" applyFill="1" borderId="13" applyBorder="1" xfId="0" applyAlignment="1">
      <alignment horizontal="left" vertical="center"/>
      <protection locked="0"/>
    </xf>
    <xf numFmtId="1" applyNumberFormat="1" fontId="10" applyFont="1" fillId="0" applyFill="1" borderId="8" applyBorder="1" xfId="0" applyAlignment="1">
      <alignment horizontal="center" vertical="center"/>
      <protection locked="0"/>
    </xf>
    <xf numFmtId="166" applyNumberFormat="1" fontId="10" applyFont="1" fillId="0" applyFill="1" borderId="19" applyBorder="1" xfId="0" applyAlignment="1">
      <alignment horizontal="left" vertical="center"/>
      <protection locked="0"/>
    </xf>
    <xf numFmtId="166" applyNumberFormat="1" fontId="10" applyFont="1" fillId="0" applyFill="1" borderId="8" applyBorder="1" xfId="0" applyAlignment="1">
      <alignment horizontal="center" vertical="center"/>
      <protection locked="0"/>
    </xf>
    <xf numFmtId="166" applyNumberFormat="1" fontId="10" applyFont="1" fillId="0" applyFill="1" borderId="10" applyBorder="1" xfId="0" applyAlignment="1">
      <alignment horizontal="center" vertical="center"/>
      <protection locked="0"/>
    </xf>
    <xf numFmtId="1" applyNumberFormat="1" fontId="10" applyFont="1" fillId="0" applyFill="1" borderId="18" applyBorder="1" xfId="0" applyAlignment="1">
      <alignment horizontal="center" vertical="center"/>
      <protection locked="0"/>
    </xf>
    <xf numFmtId="37" applyNumberFormat="1" fontId="10" applyFont="1" fillId="0" applyFill="1" borderId="20" applyBorder="1" xfId="1" applyAlignment="1">
      <alignment horizontal="center" vertical="center"/>
      <protection locked="0"/>
    </xf>
    <xf numFmtId="49" applyNumberFormat="1" fontId="10" applyFont="1" fillId="0" applyFill="1" borderId="20" applyBorder="1" xfId="0" applyAlignment="1">
      <alignment horizontal="center" vertical="center"/>
      <protection locked="0"/>
    </xf>
    <xf numFmtId="0" applyNumberFormat="1" fontId="5" applyFont="1" fillId="0" applyFill="1" borderId="4" applyBorder="1" xfId="0" applyProtection="1" applyAlignment="1">
      <alignment horizontal="right" vertical="center"/>
    </xf>
    <xf numFmtId="0" applyNumberFormat="1" fontId="10" applyFont="1" fillId="0" applyFill="1" borderId="21" applyBorder="1" xfId="0" applyAlignment="1">
      <alignment horizontal="center"/>
      <protection locked="0"/>
    </xf>
    <xf numFmtId="0" applyNumberFormat="1" fontId="10" applyFont="1" fillId="0" applyFill="1" borderId="22" applyBorder="1" xfId="0" applyAlignment="1">
      <alignment horizontal="center"/>
      <protection locked="0"/>
    </xf>
    <xf numFmtId="3" applyNumberFormat="1" fontId="10" applyFont="1" fillId="0" applyFill="1" borderId="23" applyBorder="1" xfId="0" applyAlignment="1">
      <alignment horizontal="center"/>
      <protection locked="0"/>
    </xf>
    <xf numFmtId="0" applyNumberFormat="1" fontId="3" applyFont="1" fillId="3" applyFill="1" borderId="6" applyBorder="1" xfId="0" applyProtection="1"/>
    <xf numFmtId="0" applyNumberFormat="1" fontId="11" applyFont="1" fillId="0" applyFill="1" borderId="5" applyBorder="1" xfId="0" applyProtection="1" applyAlignment="1">
      <alignment horizontal="left" vertical="center"/>
    </xf>
    <xf numFmtId="49" applyNumberFormat="1" fontId="10" applyFont="1" fillId="0" applyFill="1" borderId="24" applyBorder="1" xfId="0" applyAlignment="1">
      <alignment horizontal="center" vertical="center"/>
      <protection locked="0"/>
    </xf>
    <xf numFmtId="37" applyNumberFormat="1" fontId="10" applyFont="1" fillId="0" applyFill="1" borderId="25" applyBorder="1" xfId="1" applyAlignment="1">
      <alignment horizontal="center" vertical="center"/>
      <protection locked="0"/>
    </xf>
    <xf numFmtId="165" applyNumberFormat="1" fontId="10" applyFont="1" fillId="0" applyFill="1" borderId="26" applyBorder="1" xfId="0" applyAlignment="1">
      <alignment horizontal="right" vertical="center"/>
      <protection locked="0"/>
    </xf>
    <xf numFmtId="166" applyNumberFormat="1" fontId="10" applyFont="1" fillId="0" applyFill="1" borderId="26" applyBorder="1" xfId="0" applyAlignment="1">
      <alignment horizontal="left" vertical="center"/>
      <protection locked="0"/>
    </xf>
    <xf numFmtId="1" applyNumberFormat="1" fontId="10" applyFont="1" fillId="0" applyFill="1" borderId="21" applyBorder="1" xfId="0" applyAlignment="1">
      <alignment horizontal="center" vertical="center"/>
      <protection locked="0"/>
    </xf>
    <xf numFmtId="165" applyNumberFormat="1" fontId="10" applyFont="1" fillId="0" applyFill="1" borderId="22" applyBorder="1" xfId="0" applyAlignment="1">
      <alignment horizontal="right" vertical="center"/>
      <protection locked="0"/>
    </xf>
    <xf numFmtId="166" applyNumberFormat="1" fontId="10" applyFont="1" fillId="0" applyFill="1" borderId="27" applyBorder="1" xfId="0" applyAlignment="1">
      <alignment horizontal="left" vertical="center"/>
      <protection locked="0"/>
    </xf>
    <xf numFmtId="166" applyNumberFormat="1" fontId="10" applyFont="1" fillId="0" applyFill="1" borderId="21" applyBorder="1" xfId="0" applyAlignment="1">
      <alignment horizontal="center" vertical="center"/>
      <protection locked="0"/>
    </xf>
    <xf numFmtId="166" applyNumberFormat="1" fontId="10" applyFont="1" fillId="0" applyFill="1" borderId="23" applyBorder="1" xfId="0" applyAlignment="1">
      <alignment horizontal="center" vertical="center"/>
      <protection locked="0"/>
    </xf>
    <xf numFmtId="1" applyNumberFormat="1" fontId="10" applyFont="1" fillId="0" applyFill="1" borderId="24" applyBorder="1" xfId="0" applyAlignment="1">
      <alignment horizontal="center" vertical="center"/>
      <protection locked="0"/>
    </xf>
    <xf numFmtId="165" applyNumberFormat="1" fontId="10" applyFont="1" fillId="0" applyFill="1" borderId="28" applyBorder="1" xfId="0" applyAlignment="1">
      <alignment horizontal="right" vertical="center"/>
      <protection locked="0"/>
    </xf>
    <xf numFmtId="166" applyNumberFormat="1" fontId="10" applyFont="1" fillId="0" applyFill="1" borderId="28" applyBorder="1" xfId="0" applyAlignment="1">
      <alignment horizontal="left" vertical="center"/>
      <protection locked="0"/>
    </xf>
    <xf numFmtId="1" applyNumberFormat="1" fontId="10" applyFont="1" fillId="0" applyFill="1" borderId="29" applyBorder="1" xfId="0" applyAlignment="1">
      <alignment horizontal="center" vertical="center"/>
      <protection locked="0"/>
    </xf>
    <xf numFmtId="165" applyNumberFormat="1" fontId="10" applyFont="1" fillId="0" applyFill="1" borderId="30" applyBorder="1" xfId="0" applyAlignment="1">
      <alignment horizontal="right" vertical="center"/>
      <protection locked="0"/>
    </xf>
    <xf numFmtId="166" applyNumberFormat="1" fontId="10" applyFont="1" fillId="0" applyFill="1" borderId="31" applyBorder="1" xfId="0" applyAlignment="1">
      <alignment horizontal="left" vertical="center"/>
      <protection locked="0"/>
    </xf>
    <xf numFmtId="166" applyNumberFormat="1" fontId="10" applyFont="1" fillId="0" applyFill="1" borderId="29" applyBorder="1" xfId="0" applyAlignment="1">
      <alignment horizontal="center" vertical="center"/>
      <protection locked="0"/>
    </xf>
    <xf numFmtId="166" applyNumberFormat="1" fontId="10" applyFont="1" fillId="0" applyFill="1" borderId="32" applyBorder="1" xfId="0" applyAlignment="1">
      <alignment horizontal="center" vertical="center"/>
      <protection locked="0"/>
    </xf>
    <xf numFmtId="1" applyNumberFormat="1" fontId="10" applyFont="1" fillId="0" applyFill="1" borderId="20" applyBorder="1" xfId="0" applyAlignment="1">
      <alignment horizontal="center" vertical="center"/>
      <protection locked="0"/>
    </xf>
    <xf numFmtId="0" applyNumberFormat="1" fontId="10" applyFont="1" fillId="0" applyFill="1" borderId="21" applyBorder="1" xfId="0" applyAlignment="1">
      <alignment horizontal="center" vertical="center"/>
      <protection locked="0"/>
    </xf>
    <xf numFmtId="0" applyNumberFormat="1" fontId="10" applyFont="1" fillId="0" applyFill="1" borderId="33" applyBorder="1" xfId="0" applyAlignment="1">
      <alignment horizontal="center" vertical="center"/>
      <protection locked="0"/>
    </xf>
    <xf numFmtId="0" applyNumberFormat="1" fontId="13" applyFont="1" fillId="0" applyFill="1" borderId="33" applyBorder="1" xfId="0" applyAlignment="1">
      <alignment horizontal="center" vertical="center"/>
      <protection locked="0"/>
    </xf>
    <xf numFmtId="3" applyNumberFormat="1" fontId="10" applyFont="1" fillId="0" applyFill="1" borderId="33" applyBorder="1" xfId="0" applyAlignment="1">
      <alignment horizontal="center" vertical="center"/>
      <protection locked="0"/>
    </xf>
    <xf numFmtId="37" applyNumberFormat="1" fontId="10" applyFont="1" fillId="0" applyFill="1" borderId="26" applyBorder="1" xfId="1" applyAlignment="1">
      <alignment horizontal="center" vertical="center"/>
      <protection locked="0"/>
    </xf>
    <xf numFmtId="37" applyNumberFormat="1" fontId="11" applyFont="1" fillId="0" applyFill="1" borderId="23" applyBorder="1" xfId="1" applyProtection="1" applyAlignment="1">
      <alignment horizontal="center" vertical="center"/>
    </xf>
    <xf numFmtId="0" applyNumberFormat="1" fontId="10" applyFont="1" fillId="0" applyFill="1" borderId="29" applyBorder="1" xfId="0" applyAlignment="1">
      <alignment horizontal="center" vertical="center"/>
      <protection locked="0"/>
    </xf>
    <xf numFmtId="0" applyNumberFormat="1" fontId="10" applyFont="1" fillId="0" applyFill="1" borderId="34" applyBorder="1" xfId="0" applyAlignment="1">
      <alignment horizontal="center" vertical="center"/>
      <protection locked="0"/>
    </xf>
    <xf numFmtId="0" applyNumberFormat="1" fontId="13" applyFont="1" fillId="0" applyFill="1" borderId="34" applyBorder="1" xfId="0" applyAlignment="1">
      <alignment horizontal="center" vertical="center"/>
      <protection locked="0"/>
    </xf>
    <xf numFmtId="3" applyNumberFormat="1" fontId="10" applyFont="1" fillId="0" applyFill="1" borderId="34" applyBorder="1" xfId="0" applyAlignment="1">
      <alignment horizontal="center" vertical="center"/>
      <protection locked="0"/>
    </xf>
    <xf numFmtId="37" applyNumberFormat="1" fontId="10" applyFont="1" fillId="0" applyFill="1" borderId="28" applyBorder="1" xfId="1" applyAlignment="1">
      <alignment horizontal="center" vertical="center"/>
      <protection locked="0"/>
    </xf>
    <xf numFmtId="37" applyNumberFormat="1" fontId="11" applyFont="1" fillId="0" applyFill="1" borderId="32" applyBorder="1" xfId="1" applyProtection="1" applyAlignment="1">
      <alignment horizontal="center" vertical="center"/>
    </xf>
    <xf numFmtId="4" applyNumberFormat="1" fontId="10" applyFont="1" fillId="0" applyFill="1" borderId="11" applyBorder="1" xfId="0" applyAlignment="1">
      <alignment horizontal="center" vertical="center"/>
      <protection locked="0"/>
    </xf>
    <xf numFmtId="49" applyNumberFormat="1" fontId="10" applyFont="1" fillId="0" applyFill="1" borderId="21" applyBorder="1" xfId="0" applyAlignment="1">
      <alignment horizontal="center" vertical="center"/>
      <protection locked="0"/>
    </xf>
    <xf numFmtId="49" applyNumberFormat="1" fontId="13" applyFont="1" fillId="0" applyFill="1" borderId="33" applyBorder="1" xfId="0" applyAlignment="1">
      <alignment horizontal="center" vertical="center"/>
      <protection locked="0"/>
    </xf>
    <xf numFmtId="1" applyNumberFormat="1" fontId="10" applyFont="1" fillId="0" applyFill="1" borderId="26" applyBorder="1" xfId="0" applyAlignment="1">
      <alignment horizontal="left" vertical="center"/>
      <protection locked="0"/>
    </xf>
    <xf numFmtId="4" applyNumberFormat="1" fontId="10" applyFont="1" fillId="0" applyFill="1" borderId="33" applyBorder="1" xfId="0" applyAlignment="1">
      <alignment horizontal="center" vertical="center"/>
      <protection locked="0"/>
    </xf>
    <xf numFmtId="4" applyNumberFormat="1" fontId="11" applyFont="1" fillId="0" applyFill="1" borderId="23" applyBorder="1" xfId="0" applyProtection="1" applyAlignment="1">
      <alignment horizontal="center" vertical="center"/>
    </xf>
    <xf numFmtId="49" applyNumberFormat="1" fontId="10" applyFont="1" fillId="0" applyFill="1" borderId="29" applyBorder="1" xfId="0" applyAlignment="1">
      <alignment horizontal="center" vertical="center"/>
      <protection locked="0"/>
    </xf>
    <xf numFmtId="49" applyNumberFormat="1" fontId="13" applyFont="1" fillId="0" applyFill="1" borderId="34" applyBorder="1" xfId="0" applyAlignment="1">
      <alignment horizontal="center" vertical="center"/>
      <protection locked="0"/>
    </xf>
    <xf numFmtId="1" applyNumberFormat="1" fontId="10" applyFont="1" fillId="0" applyFill="1" borderId="28" applyBorder="1" xfId="0" applyAlignment="1">
      <alignment horizontal="left" vertical="center"/>
      <protection locked="0"/>
    </xf>
    <xf numFmtId="4" applyNumberFormat="1" fontId="10" applyFont="1" fillId="0" applyFill="1" borderId="34" applyBorder="1" xfId="0" applyAlignment="1">
      <alignment horizontal="center" vertical="center"/>
      <protection locked="0"/>
    </xf>
    <xf numFmtId="4" applyNumberFormat="1" fontId="11" applyFont="1" fillId="0" applyFill="1" borderId="32" applyBorder="1" xfId="0" applyProtection="1" applyAlignment="1">
      <alignment horizontal="center" vertical="center"/>
    </xf>
    <xf numFmtId="0" applyNumberFormat="1" fontId="10" applyFont="1" fillId="0" applyFill="1" borderId="29" applyBorder="1" xfId="0" applyAlignment="1">
      <alignment horizontal="center"/>
      <protection locked="0"/>
    </xf>
    <xf numFmtId="0" applyNumberFormat="1" fontId="10" applyFont="1" fillId="0" applyFill="1" borderId="30" applyBorder="1" xfId="0" applyAlignment="1">
      <alignment horizontal="center"/>
      <protection locked="0"/>
    </xf>
    <xf numFmtId="3" applyNumberFormat="1" fontId="10" applyFont="1" fillId="0" applyFill="1" borderId="32" applyBorder="1" xfId="0" applyAlignment="1">
      <alignment horizontal="center"/>
      <protection locked="0"/>
    </xf>
    <xf numFmtId="0" applyNumberFormat="1" fontId="10" applyFont="1" fillId="0" applyFill="1" borderId="35" applyBorder="1" xfId="0" applyAlignment="1">
      <alignment horizontal="center"/>
      <protection locked="0"/>
    </xf>
    <xf numFmtId="49" applyNumberFormat="1" fontId="10" applyFont="1" fillId="0" applyFill="1" borderId="8" applyBorder="1" xfId="0" applyAlignment="1">
      <alignment horizontal="center"/>
      <protection locked="0"/>
    </xf>
    <xf numFmtId="0" applyNumberFormat="1" fontId="15" applyFont="1" fillId="3" applyFill="1" borderId="0" applyBorder="1" xfId="0" applyProtection="1"/>
    <xf numFmtId="0" applyNumberFormat="1" fontId="0" applyFont="1" fillId="3" applyFill="1" borderId="0" applyBorder="1" xfId="0" applyProtection="1" applyAlignment="1">
      <alignment horizontal="left"/>
    </xf>
    <xf numFmtId="0" applyNumberFormat="1" fontId="3" applyFont="1" fillId="3" applyFill="1" borderId="0" applyBorder="1" xfId="0" applyProtection="1" applyAlignment="1">
      <alignment horizontal="left"/>
    </xf>
    <xf numFmtId="0" applyNumberFormat="1" fontId="0" applyFont="1" fillId="3" applyFill="1" borderId="0" applyBorder="1" xfId="0" applyProtection="1" applyAlignment="1">
      <alignment horizontal="left" indent="1"/>
    </xf>
    <xf numFmtId="0" applyNumberFormat="1" fontId="3" applyFont="1" fillId="3" applyFill="1" borderId="0" applyBorder="1" xfId="0" applyProtection="1" applyAlignment="1">
      <alignment horizontal="left" indent="1"/>
    </xf>
    <xf numFmtId="0" applyNumberFormat="1" fontId="3" applyFont="1" fillId="3" applyFill="1" borderId="0" applyBorder="1" xfId="0" applyProtection="1" applyAlignment="1">
      <alignment horizontal="left" indent="1"/>
    </xf>
    <xf numFmtId="18" applyNumberFormat="1" fontId="3" applyFont="1" fillId="3" applyFill="1" borderId="0" applyBorder="1" xfId="0" applyProtection="1" applyAlignment="1">
      <alignment horizontal="left" indent="1"/>
    </xf>
    <xf numFmtId="0" applyNumberFormat="1" fontId="9" applyFont="1" fillId="0" applyFill="1" borderId="36" applyBorder="1" xfId="0" applyProtection="1" applyAlignment="1">
      <alignment horizontal="center"/>
    </xf>
    <xf numFmtId="0" applyNumberFormat="1" fontId="9" applyFont="1" fillId="0" applyFill="1" borderId="37" applyBorder="1" xfId="0" applyProtection="1" applyAlignment="1">
      <alignment horizontal="center"/>
    </xf>
    <xf numFmtId="0" applyNumberFormat="1" fontId="9" applyFont="1" fillId="0" applyFill="1" borderId="38" applyBorder="1" xfId="0" applyProtection="1" applyAlignment="1">
      <alignment horizontal="center"/>
    </xf>
    <xf numFmtId="0" applyNumberFormat="1" fontId="9" applyFont="1" fillId="0" applyFill="1" borderId="39" applyBorder="1" xfId="0" applyProtection="1" applyAlignment="1">
      <alignment horizontal="center"/>
    </xf>
    <xf numFmtId="0" applyNumberFormat="1" fontId="9" applyFont="1" fillId="0" applyFill="1" borderId="40" applyBorder="1" xfId="0" applyProtection="1" applyAlignment="1">
      <alignment horizontal="center"/>
    </xf>
    <xf numFmtId="0" applyNumberFormat="1" fontId="9" applyFont="1" fillId="0" applyFill="1" borderId="6" applyBorder="1" xfId="0" applyProtection="1" applyAlignment="1">
      <alignment horizontal="right"/>
    </xf>
    <xf numFmtId="0" applyNumberFormat="1" fontId="9" applyFont="1" fillId="0" applyFill="1" borderId="0" applyBorder="1" xfId="0" applyProtection="1" applyAlignment="1">
      <alignment horizontal="right"/>
    </xf>
    <xf numFmtId="167" applyNumberFormat="1" fontId="16" applyFont="1" fillId="0" applyFill="1" borderId="41" applyBorder="1" xfId="0" applyAlignment="1">
      <alignment horizontal="left"/>
      <protection locked="0"/>
    </xf>
    <xf numFmtId="0" applyNumberFormat="1" fontId="9" applyFont="1" fillId="0" applyFill="1" borderId="0" applyBorder="1" xfId="0" applyProtection="1" applyAlignment="1">
      <alignment horizontal="center"/>
    </xf>
    <xf numFmtId="1" applyNumberFormat="1" fontId="16" applyFont="1" fillId="0" applyFill="1" borderId="41" applyBorder="1" xfId="0" applyProtection="1" applyAlignment="1">
      <alignment horizontal="left"/>
    </xf>
    <xf numFmtId="0" applyNumberFormat="1" fontId="13" applyFont="1" fillId="0" applyFill="1" borderId="35" applyBorder="1" xfId="0" applyAlignment="1">
      <alignment horizontal="center"/>
      <protection locked="0"/>
    </xf>
    <xf numFmtId="3" applyNumberFormat="1" fontId="10" applyFont="1" fillId="0" applyFill="1" borderId="42" applyBorder="1" xfId="0" applyAlignment="1">
      <alignment horizontal="center"/>
      <protection locked="0"/>
    </xf>
    <xf numFmtId="0" applyNumberFormat="1" fontId="10" applyFont="1" fillId="0" applyFill="1" borderId="43" applyBorder="1" xfId="0" applyAlignment="1">
      <alignment horizontal="center"/>
      <protection locked="0"/>
    </xf>
    <xf numFmtId="3" applyNumberFormat="1" fontId="10" applyFont="1" fillId="0" applyFill="1" borderId="19" applyBorder="1" xfId="0" applyAlignment="1">
      <alignment horizontal="center"/>
      <protection locked="0"/>
    </xf>
    <xf numFmtId="0" applyNumberFormat="1" fontId="10" applyFont="1" fillId="0" applyFill="1" borderId="17" applyBorder="1" xfId="0" applyAlignment="1">
      <alignment horizontal="center"/>
      <protection locked="0"/>
    </xf>
    <xf numFmtId="0" applyNumberFormat="1" fontId="10" applyFont="1" fillId="0" applyFill="1" borderId="44" applyBorder="1" xfId="0" applyAlignment="1">
      <alignment horizontal="center"/>
      <protection locked="0"/>
    </xf>
    <xf numFmtId="0" applyNumberFormat="1" fontId="13" applyFont="1" fillId="0" applyFill="1" borderId="44" applyBorder="1" xfId="0" applyAlignment="1">
      <alignment horizontal="center"/>
      <protection locked="0"/>
    </xf>
    <xf numFmtId="3" applyNumberFormat="1" fontId="10" applyFont="1" fillId="0" applyFill="1" borderId="45" applyBorder="1" xfId="0" applyAlignment="1">
      <alignment horizontal="center"/>
      <protection locked="0"/>
    </xf>
    <xf numFmtId="0" applyNumberFormat="1" fontId="10" applyFont="1" fillId="0" applyFill="1" borderId="46" applyBorder="1" xfId="0" applyAlignment="1">
      <alignment horizontal="center"/>
      <protection locked="0"/>
    </xf>
    <xf numFmtId="3" applyNumberFormat="1" fontId="10" applyFont="1" fillId="0" applyFill="1" borderId="47" applyBorder="1" xfId="0" applyAlignment="1">
      <alignment horizontal="center"/>
      <protection locked="0"/>
    </xf>
    <xf numFmtId="49" applyNumberFormat="1" fontId="10" applyFont="1" fillId="0" applyFill="1" borderId="17" applyBorder="1" xfId="0" applyAlignment="1">
      <alignment horizontal="center"/>
      <protection locked="0"/>
    </xf>
    <xf numFmtId="1" applyNumberFormat="1" fontId="19" applyFont="1" fillId="0" applyFill="1" borderId="0" applyBorder="1" xfId="0" applyProtection="1" applyAlignment="1">
      <alignment horizontal="center"/>
    </xf>
    <xf numFmtId="0" applyNumberFormat="1" fontId="4" applyFont="1" fillId="0" applyFill="1" borderId="48" applyBorder="1" xfId="0" applyProtection="1" applyAlignment="1">
      <alignment horizontal="center"/>
    </xf>
    <xf numFmtId="1" applyNumberFormat="1" fontId="10" applyFont="1" fillId="0" applyFill="1" borderId="37" applyBorder="1" xfId="0" applyAlignment="1">
      <alignment horizontal="center" vertical="center"/>
      <protection locked="0"/>
    </xf>
    <xf numFmtId="1" applyNumberFormat="1" fontId="10" applyFont="1" fillId="0" applyFill="1" borderId="11" applyBorder="1" xfId="0" applyAlignment="1">
      <alignment horizontal="center" vertical="center"/>
      <protection locked="0"/>
    </xf>
    <xf numFmtId="0" applyNumberFormat="1" fontId="4" applyFont="1" fillId="0" applyFill="1" borderId="46" applyBorder="1" xfId="0" applyProtection="1" applyAlignment="1">
      <alignment horizontal="center"/>
    </xf>
    <xf numFmtId="165" applyNumberFormat="1" fontId="10" applyFont="1" fillId="0" applyFill="1" borderId="49" applyBorder="1" xfId="0" applyAlignment="1">
      <alignment horizontal="right" vertical="center"/>
      <protection locked="0"/>
    </xf>
    <xf numFmtId="166" applyNumberFormat="1" fontId="10" applyFont="1" fillId="0" applyFill="1" borderId="50" applyBorder="1" xfId="0" applyAlignment="1">
      <alignment horizontal="left" vertical="center"/>
      <protection locked="0"/>
    </xf>
    <xf numFmtId="49" applyNumberFormat="1" fontId="10" applyFont="1" fillId="0" applyFill="1" borderId="18" applyBorder="1" xfId="1" applyAlignment="1">
      <alignment horizontal="center" vertical="center"/>
      <protection locked="0"/>
    </xf>
    <xf numFmtId="49" applyNumberFormat="1" fontId="10" applyFont="1" fillId="0" applyFill="1" borderId="51" applyBorder="1" xfId="1" applyAlignment="1">
      <alignment horizontal="center" vertical="center"/>
      <protection locked="0"/>
    </xf>
    <xf numFmtId="0" applyNumberFormat="1" fontId="3" applyFont="1" fillId="3" applyFill="1" borderId="0" applyBorder="1" xfId="0" applyProtection="1"/>
    <xf numFmtId="0" applyNumberFormat="1" fontId="5" applyFont="1" fillId="0" applyFill="1" borderId="52" applyBorder="1" xfId="0" applyProtection="1" applyAlignment="1">
      <alignment horizontal="right" vertical="center"/>
    </xf>
    <xf numFmtId="1" applyNumberFormat="1" fontId="11" applyFont="1" fillId="0" applyFill="1" borderId="9" applyBorder="1" xfId="0" applyProtection="1" applyAlignment="1">
      <alignment horizontal="center" vertical="center"/>
    </xf>
    <xf numFmtId="38" applyNumberFormat="1" fontId="10" applyFont="1" fillId="0" applyFill="1" borderId="36" applyBorder="1" xfId="0" applyAlignment="1">
      <alignment horizontal="center" vertical="center"/>
      <protection locked="0"/>
    </xf>
    <xf numFmtId="38" applyNumberFormat="1" fontId="10" applyFont="1" fillId="0" applyFill="1" borderId="8" applyBorder="1" xfId="0" applyAlignment="1">
      <alignment horizontal="center" vertical="center"/>
      <protection locked="0"/>
    </xf>
    <xf numFmtId="1" applyNumberFormat="1" fontId="10" applyFont="1" fillId="4" applyFill="1" borderId="21" applyBorder="1" xfId="0" applyAlignment="1">
      <alignment horizontal="center" vertical="center"/>
      <protection locked="0"/>
    </xf>
    <xf numFmtId="0" applyNumberFormat="1" fontId="4" applyFont="1" fillId="0" applyFill="1" borderId="53" applyBorder="1" xfId="0" applyProtection="1" applyAlignment="1">
      <alignment horizontal="center"/>
    </xf>
    <xf numFmtId="49" applyNumberFormat="1" fontId="10" applyFont="1" fillId="0" applyFill="1" borderId="35" applyBorder="1" xfId="0" applyAlignment="1">
      <alignment horizontal="center" vertical="center"/>
      <protection locked="0"/>
    </xf>
    <xf numFmtId="1" applyNumberFormat="1" fontId="10" applyFont="1" fillId="4" applyFill="1" borderId="25" applyBorder="1" xfId="0" applyAlignment="1">
      <alignment horizontal="center" vertical="center"/>
      <protection locked="0"/>
    </xf>
    <xf numFmtId="1" applyNumberFormat="1" fontId="10" applyFont="1" fillId="4" applyFill="1" borderId="54" applyBorder="1" xfId="0" applyAlignment="1">
      <alignment horizontal="center" vertical="center"/>
      <protection locked="0"/>
    </xf>
    <xf numFmtId="1" applyNumberFormat="1" fontId="10" applyFont="1" fillId="0" applyFill="1" borderId="54" applyBorder="1" xfId="0" applyAlignment="1">
      <alignment horizontal="center" vertical="center"/>
      <protection locked="0"/>
    </xf>
    <xf numFmtId="1" applyNumberFormat="1" fontId="10" applyFont="1" fillId="0" applyFill="1" borderId="55" applyBorder="1" xfId="0" applyAlignment="1">
      <alignment horizontal="center" vertical="center"/>
      <protection locked="0"/>
    </xf>
    <xf numFmtId="0" applyNumberFormat="1" fontId="4" applyFont="1" fillId="0" applyFill="1" borderId="44" applyBorder="1" xfId="0" applyProtection="1" applyAlignment="1">
      <alignment horizontal="center"/>
    </xf>
    <xf numFmtId="49" applyNumberFormat="1" fontId="10" applyFont="1" fillId="0" applyFill="1" borderId="56" applyBorder="1" xfId="0" applyAlignment="1">
      <alignment horizontal="center" vertical="center"/>
      <protection locked="0"/>
    </xf>
    <xf numFmtId="1" applyNumberFormat="1" fontId="10" applyFont="1" fillId="0" applyFill="1" borderId="39" applyBorder="1" xfId="0" applyAlignment="1">
      <alignment horizontal="center" vertical="center"/>
      <protection locked="0"/>
    </xf>
    <xf numFmtId="1" applyNumberFormat="1" fontId="10" applyFont="1" fillId="0" applyFill="1" borderId="43" applyBorder="1" xfId="0" applyAlignment="1">
      <alignment horizontal="center" vertical="center"/>
      <protection locked="0"/>
    </xf>
    <xf numFmtId="1" applyNumberFormat="1" fontId="10" applyFont="1" fillId="0" applyFill="1" borderId="46" applyBorder="1" xfId="0" applyAlignment="1">
      <alignment horizontal="center" vertical="center"/>
      <protection locked="0"/>
    </xf>
    <xf numFmtId="1" applyNumberFormat="1" fontId="20" applyFont="1" fillId="0" applyFill="1" borderId="57" applyBorder="1" xfId="0" applyAlignment="1">
      <alignment horizontal="center" vertical="center"/>
      <protection locked="0"/>
    </xf>
    <xf numFmtId="0" applyNumberFormat="1" fontId="0" applyFont="1" fillId="5" applyFill="1" borderId="58" applyBorder="1" xfId="0" applyProtection="1" applyAlignment="1">
      <alignment horizontal="center"/>
      <protection hidden="1"/>
    </xf>
    <xf numFmtId="0" applyNumberFormat="1" fontId="21" applyFont="1" fillId="5" applyFill="1" borderId="0" applyBorder="1" xfId="0" applyProtection="1" applyAlignment="1">
      <alignment horizontal="left"/>
      <protection hidden="1"/>
    </xf>
    <xf numFmtId="0" applyNumberFormat="1" fontId="0" applyFont="1" fillId="5" applyFill="1" borderId="59" applyBorder="1" xfId="0" applyProtection="1" applyAlignment="1">
      <alignment horizontal="center"/>
      <protection hidden="1"/>
    </xf>
    <xf numFmtId="0" applyNumberFormat="1" fontId="21" applyFont="1" fillId="5" applyFill="1" borderId="60" applyBorder="1" xfId="0" applyProtection="1" applyAlignment="1">
      <alignment horizontal="left"/>
      <protection hidden="1"/>
    </xf>
    <xf numFmtId="0" applyNumberFormat="1" fontId="22" applyFont="1" fillId="5" applyFill="1" borderId="58" applyBorder="1" xfId="0" applyProtection="1" applyAlignment="1">
      <alignment horizontal="center" vertical="center"/>
      <protection hidden="1"/>
    </xf>
    <xf numFmtId="0" applyNumberFormat="1" fontId="26" applyFont="1" fillId="5" applyFill="1" borderId="0" applyBorder="1" xfId="0" applyProtection="1" applyAlignment="1">
      <alignment horizontal="left" vertical="center"/>
      <protection hidden="1"/>
    </xf>
    <xf numFmtId="0" applyNumberFormat="1" fontId="22" applyFont="1" fillId="5" applyFill="1" borderId="59" applyBorder="1" xfId="0" applyProtection="1" applyAlignment="1">
      <alignment horizontal="center" vertical="center"/>
      <protection hidden="1"/>
    </xf>
    <xf numFmtId="0" applyNumberFormat="1" fontId="26" applyFont="1" fillId="5" applyFill="1" borderId="60" applyBorder="1" xfId="0" applyProtection="1" applyAlignment="1">
      <alignment horizontal="left" vertical="center"/>
      <protection hidden="1"/>
    </xf>
    <xf numFmtId="0" applyNumberFormat="1" fontId="0" applyFont="1" fillId="5" applyFill="1" borderId="58" applyBorder="1" xfId="0" applyProtection="1" applyAlignment="1">
      <alignment horizontal="center" vertical="center"/>
      <protection hidden="1"/>
    </xf>
    <xf numFmtId="0" applyNumberFormat="1" fontId="0" applyFont="1" fillId="5" applyFill="1" borderId="0" applyBorder="1" xfId="0" applyProtection="1" applyAlignment="1">
      <alignment horizontal="center" vertical="center"/>
      <protection hidden="1"/>
    </xf>
    <xf numFmtId="0" applyNumberFormat="1" fontId="0" applyFont="1" fillId="5" applyFill="1" borderId="59" applyBorder="1" xfId="0" applyProtection="1" applyAlignment="1">
      <alignment horizontal="center" vertical="center"/>
      <protection hidden="1"/>
    </xf>
    <xf numFmtId="0" applyNumberFormat="1" fontId="0" applyFont="1" fillId="5" applyFill="1" borderId="60" applyBorder="1" xfId="0" applyProtection="1" applyAlignment="1">
      <alignment horizontal="center" vertical="center"/>
      <protection hidden="1"/>
    </xf>
    <xf numFmtId="0" applyNumberFormat="1" fontId="22" applyFont="1" fillId="5" applyFill="1" borderId="61" applyBorder="1" xfId="0" applyProtection="1" applyAlignment="1">
      <alignment horizontal="center" vertical="center"/>
      <protection hidden="1"/>
    </xf>
    <xf numFmtId="1" applyNumberFormat="1" fontId="20" applyFont="1" fillId="5" applyFill="1" borderId="62" applyBorder="1" xfId="0" applyProtection="1" applyAlignment="1">
      <alignment horizontal="center" vertical="center"/>
      <protection hidden="1"/>
    </xf>
    <xf numFmtId="0" applyNumberFormat="1" fontId="25" applyFont="1" fillId="5" applyFill="1" borderId="62" applyBorder="1" xfId="0" applyProtection="1" applyAlignment="1">
      <alignment horizontal="left" vertical="center"/>
      <protection hidden="1"/>
    </xf>
    <xf numFmtId="0" applyNumberFormat="1" fontId="22" applyFont="1" fillId="5" applyFill="1" borderId="63" applyBorder="1" xfId="0" applyProtection="1" applyAlignment="1">
      <alignment horizontal="center" vertical="center"/>
      <protection hidden="1"/>
    </xf>
    <xf numFmtId="0" applyNumberFormat="1" fontId="25" applyFont="1" fillId="5" applyFill="1" borderId="64" applyBorder="1" xfId="0" applyProtection="1" applyAlignment="1">
      <alignment horizontal="left" vertical="center"/>
      <protection hidden="1"/>
    </xf>
    <xf numFmtId="0" applyNumberFormat="1" fontId="0" applyFont="1" fillId="5" applyFill="1" borderId="65" applyBorder="1" xfId="0" applyProtection="1" applyAlignment="1">
      <alignment horizontal="center"/>
      <protection hidden="1"/>
    </xf>
    <xf numFmtId="0" applyNumberFormat="1" fontId="0" applyFont="1" fillId="5" applyFill="1" borderId="66" applyBorder="1" xfId="0" applyProtection="1">
      <protection hidden="1"/>
    </xf>
    <xf numFmtId="0" applyNumberFormat="1" fontId="0" applyFont="1" fillId="5" applyFill="1" borderId="67" applyBorder="1" xfId="0" applyProtection="1" applyAlignment="1">
      <alignment horizontal="center"/>
      <protection hidden="1"/>
    </xf>
    <xf numFmtId="0" applyNumberFormat="1" fontId="0" applyFont="1" fillId="5" applyFill="1" borderId="68" applyBorder="1" xfId="0" applyProtection="1">
      <protection hidden="1"/>
    </xf>
    <xf numFmtId="1" applyNumberFormat="1" fontId="20" applyFont="1" fillId="5" applyFill="1" borderId="0" applyBorder="1" xfId="0" applyProtection="1" applyAlignment="1">
      <alignment horizontal="center"/>
      <protection hidden="1"/>
    </xf>
    <xf numFmtId="0" applyNumberFormat="1" fontId="0" applyFont="1" fillId="5" applyFill="1" borderId="66" applyBorder="1" xfId="0" applyProtection="1" applyAlignment="1">
      <alignment horizontal="center"/>
      <protection hidden="1"/>
    </xf>
    <xf numFmtId="0" applyNumberFormat="1" fontId="23" applyFont="1" fillId="6" applyFill="1" borderId="69" applyBorder="1" xfId="0" applyProtection="1" applyAlignment="1">
      <alignment horizontal="center" vertical="center" wrapText="1"/>
      <protection hidden="1"/>
    </xf>
    <xf numFmtId="1" applyNumberFormat="1" fontId="24" applyFont="1" fillId="6" applyFill="1" borderId="70" applyBorder="1" xfId="0" applyProtection="1" applyAlignment="1">
      <alignment horizontal="center" vertical="center"/>
      <protection hidden="1"/>
    </xf>
    <xf numFmtId="0" applyNumberFormat="1" fontId="24" applyFont="1" fillId="6" applyFill="1" borderId="70" applyBorder="1" xfId="0" applyProtection="1" applyAlignment="1">
      <alignment horizontal="center" vertical="center"/>
      <protection hidden="1"/>
    </xf>
    <xf numFmtId="0" applyNumberFormat="1" fontId="23" applyFont="1" fillId="6" applyFill="1" borderId="70" applyBorder="1" xfId="0" applyProtection="1" applyAlignment="1">
      <alignment horizontal="center" vertical="center" wrapText="1"/>
      <protection hidden="1"/>
    </xf>
    <xf numFmtId="0" applyNumberFormat="1" fontId="24" applyFont="1" fillId="6" applyFill="1" borderId="71" applyBorder="1" xfId="0" applyProtection="1" applyAlignment="1">
      <alignment horizontal="center" vertical="center"/>
      <protection hidden="1"/>
    </xf>
    <xf numFmtId="0" applyNumberFormat="1" fontId="0" applyFont="1" fillId="0" applyFill="1" borderId="0" applyBorder="1" xfId="0" applyProtection="1">
      <protection hidden="1"/>
    </xf>
    <xf numFmtId="0" applyNumberFormat="1" fontId="4" applyFont="1" fillId="0" applyFill="1" borderId="0" applyBorder="1" xfId="0" applyProtection="1" applyAlignment="1">
      <alignment horizontal="right"/>
      <protection hidden="1"/>
    </xf>
    <xf numFmtId="14" applyNumberFormat="1" fontId="2" applyFont="1" fillId="0" applyFill="1" borderId="26" applyBorder="1" xfId="0" applyAlignment="1">
      <alignment horizontal="left"/>
      <protection locked="0"/>
    </xf>
    <xf numFmtId="0" applyNumberFormat="1" fontId="0" applyFont="1" fillId="0" applyFill="1" borderId="26" applyBorder="1" xfId="0">
      <protection locked="0"/>
    </xf>
    <xf numFmtId="0" applyNumberFormat="1" fontId="2" applyFont="1" fillId="0" applyFill="1" borderId="26" applyBorder="1" xfId="0">
      <protection locked="0"/>
    </xf>
    <xf numFmtId="0" applyNumberFormat="1" fontId="2" applyFont="1" fillId="0" applyFill="1" borderId="0" applyBorder="1" xfId="0">
      <protection locked="0"/>
    </xf>
    <xf numFmtId="0" applyNumberFormat="1" fontId="2" applyFont="1" fillId="0" applyFill="1" borderId="0" applyBorder="1" xfId="0" applyProtection="1" applyAlignment="1">
      <alignment horizontal="right"/>
      <protection hidden="1"/>
    </xf>
    <xf numFmtId="0" applyNumberFormat="1" fontId="0" applyFont="1" fillId="0" applyFill="1" borderId="0" applyBorder="1" xfId="0" applyProtection="1">
      <protection hidden="1"/>
    </xf>
    <xf numFmtId="0" applyNumberFormat="1" fontId="4" applyFont="1" fillId="0" applyFill="1" borderId="72" applyBorder="1" xfId="0" applyProtection="1" applyAlignment="1">
      <alignment horizontal="center"/>
      <protection hidden="1"/>
    </xf>
    <xf numFmtId="0" applyNumberFormat="1" fontId="4" applyFont="1" fillId="0" applyFill="1" borderId="73" applyBorder="1" xfId="0" applyProtection="1" applyAlignment="1">
      <alignment horizontal="center"/>
      <protection hidden="1"/>
    </xf>
    <xf numFmtId="0" applyNumberFormat="1" fontId="2" applyFont="1" fillId="0" applyFill="1" borderId="74" applyBorder="1" xfId="0" applyProtection="1" applyAlignment="1">
      <alignment horizontal="center"/>
      <protection hidden="1"/>
    </xf>
    <xf numFmtId="0" applyNumberFormat="1" fontId="1" applyFont="1" fillId="0" applyFill="1" borderId="75" applyBorder="1" xfId="0" applyProtection="1" applyAlignment="1">
      <alignment horizontal="center"/>
      <protection hidden="1"/>
    </xf>
    <xf numFmtId="0" applyNumberFormat="1" fontId="1" applyFont="1" fillId="0" applyFill="1" borderId="76" applyBorder="1" xfId="0" applyProtection="1" applyAlignment="1">
      <alignment horizontal="center"/>
      <protection hidden="1"/>
    </xf>
    <xf numFmtId="0" applyNumberFormat="1" fontId="1" applyFont="1" fillId="0" applyFill="1" borderId="77" applyBorder="1" xfId="0" applyProtection="1" applyAlignment="1">
      <alignment horizontal="center"/>
      <protection hidden="1"/>
    </xf>
    <xf numFmtId="0" applyNumberFormat="1" fontId="1" applyFont="1" fillId="0" applyFill="1" borderId="77" applyBorder="1" xfId="0" applyProtection="1">
      <protection hidden="1"/>
    </xf>
    <xf numFmtId="0" applyNumberFormat="1" fontId="1" applyFont="1" fillId="0" applyFill="1" borderId="78" applyBorder="1" xfId="0" applyProtection="1">
      <protection hidden="1"/>
    </xf>
    <xf numFmtId="0" applyNumberFormat="1" fontId="1" applyFont="1" fillId="0" applyFill="1" borderId="79" applyBorder="1" xfId="0" applyProtection="1">
      <protection hidden="1"/>
    </xf>
    <xf numFmtId="0" applyNumberFormat="1" fontId="1" applyFont="1" fillId="0" applyFill="1" borderId="76" applyBorder="1" xfId="0" applyProtection="1">
      <protection hidden="1"/>
    </xf>
    <xf numFmtId="0" applyNumberFormat="1" fontId="1" applyFont="1" fillId="0" applyFill="1" borderId="80" applyBorder="1" xfId="0" applyProtection="1">
      <protection hidden="1"/>
    </xf>
    <xf numFmtId="0" applyNumberFormat="1" fontId="1" applyFont="1" fillId="0" applyFill="1" borderId="81" applyBorder="1" xfId="0" applyProtection="1">
      <protection hidden="1"/>
    </xf>
    <xf numFmtId="49" applyNumberFormat="1" fontId="10" applyFont="1" fillId="0" applyFill="1" borderId="82" applyBorder="1" xfId="0" applyAlignment="1">
      <alignment horizontal="center"/>
      <protection locked="0"/>
    </xf>
    <xf numFmtId="1" applyNumberFormat="1" fontId="10" applyFont="1" fillId="0" applyFill="1" borderId="25" applyBorder="1" xfId="0" applyAlignment="1">
      <alignment horizontal="center" vertical="center"/>
      <protection locked="0"/>
    </xf>
    <xf numFmtId="49" applyNumberFormat="1" fontId="10" applyFont="1" fillId="0" applyFill="1" borderId="35" applyBorder="1" xfId="0" applyAlignment="1">
      <alignment horizontal="center" vertical="center"/>
      <protection locked="0"/>
    </xf>
    <xf numFmtId="49" applyNumberFormat="1" fontId="10" applyFont="1" fillId="0" applyFill="1" borderId="35" applyBorder="1" xfId="0" applyAlignment="1">
      <alignment horizontal="center" vertical="center"/>
      <protection locked="0"/>
    </xf>
    <xf numFmtId="49" applyNumberFormat="1" fontId="10" applyFont="1" fillId="0" applyFill="1" borderId="35" applyBorder="1" xfId="0" applyAlignment="1">
      <alignment horizontal="center" vertical="center"/>
      <protection locked="0"/>
    </xf>
    <xf numFmtId="49" applyNumberFormat="1" fontId="10" applyFont="1" fillId="0" applyFill="1" borderId="35" applyBorder="1" xfId="0" applyAlignment="1">
      <alignment horizontal="center" vertical="center"/>
      <protection locked="0"/>
    </xf>
    <xf numFmtId="49" applyNumberFormat="1" fontId="13" applyFont="1" fillId="3" applyFill="1" borderId="18" applyBorder="1" xfId="0" applyAlignment="1">
      <alignment horizontal="center" vertical="center"/>
      <protection locked="0"/>
    </xf>
    <xf numFmtId="0" applyNumberFormat="1" fontId="5" applyFont="1" fillId="0" applyFill="1" borderId="6" applyBorder="1" xfId="0" applyProtection="1" applyAlignment="1">
      <alignment horizontal="right" vertical="center"/>
    </xf>
    <xf numFmtId="0" applyNumberFormat="1" fontId="5" applyFont="1" fillId="0" applyFill="1" borderId="5" applyBorder="1" xfId="0" applyProtection="1" applyAlignment="1">
      <alignment horizontal="right" vertical="center"/>
    </xf>
    <xf numFmtId="0" applyNumberFormat="1" fontId="1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left"/>
    </xf>
    <xf numFmtId="0" applyNumberFormat="1" fontId="1" applyFont="1" fillId="0" applyFill="1" borderId="0" applyBorder="1" xfId="0" quotePrefix="1" applyProtection="1"/>
    <xf numFmtId="0" applyNumberFormat="1" fontId="0" applyFont="1" fillId="0" applyFill="1" borderId="0" applyBorder="1" xfId="0" quotePrefix="1" applyProtection="1"/>
    <xf numFmtId="49" applyNumberFormat="1" fontId="10" applyFont="1" fillId="0" applyFill="1" borderId="13" applyBorder="1" xfId="0" applyAlignment="1">
      <alignment horizontal="left" vertical="center" indent="1"/>
      <protection locked="0"/>
    </xf>
    <xf numFmtId="49" applyNumberFormat="1" fontId="10" applyFont="1" fillId="0" applyFill="1" borderId="19" applyBorder="1" xfId="0" applyAlignment="1">
      <alignment horizontal="left" vertical="center" indent="1"/>
      <protection locked="0"/>
    </xf>
    <xf numFmtId="0" applyNumberFormat="1" fontId="5" applyFont="1" fillId="0" applyFill="1" borderId="83" applyBorder="1" xfId="0" applyProtection="1" applyAlignment="1">
      <alignment horizontal="right" vertical="center"/>
    </xf>
    <xf numFmtId="0" applyNumberFormat="1" fontId="5" applyFont="1" fillId="0" applyFill="1" borderId="6" applyBorder="1" xfId="0" applyProtection="1" applyAlignment="1">
      <alignment horizontal="right" vertical="center"/>
    </xf>
    <xf numFmtId="0" applyNumberFormat="1" fontId="5" applyFont="1" fillId="0" applyFill="1" borderId="53" applyBorder="1" xfId="0" applyProtection="1" applyAlignment="1">
      <alignment horizontal="right" vertical="center"/>
    </xf>
    <xf numFmtId="0" applyNumberFormat="1" fontId="5" applyFont="1" fillId="0" applyFill="1" borderId="5" applyBorder="1" xfId="0" applyProtection="1" applyAlignment="1">
      <alignment horizontal="right" vertical="center"/>
    </xf>
    <xf numFmtId="0" applyNumberFormat="1" fontId="5" applyFont="1" fillId="0" applyFill="1" borderId="84" applyBorder="1" xfId="0" applyProtection="1" applyAlignment="1">
      <alignment horizontal="left" vertical="center"/>
    </xf>
    <xf numFmtId="0" applyNumberFormat="1" fontId="5" applyFont="1" fillId="0" applyFill="1" borderId="26" applyBorder="1" xfId="0" applyProtection="1" applyAlignment="1">
      <alignment horizontal="left" vertical="center"/>
    </xf>
    <xf numFmtId="0" applyNumberFormat="1" fontId="5" applyFont="1" fillId="0" applyFill="1" borderId="27" applyBorder="1" xfId="0" applyProtection="1" applyAlignment="1">
      <alignment horizontal="left" vertical="center"/>
    </xf>
    <xf numFmtId="164" applyNumberFormat="1" fontId="11" applyFont="1" fillId="0" applyFill="1" borderId="6" applyBorder="1" xfId="0" applyProtection="1" applyAlignment="1">
      <alignment horizontal="left" vertical="center"/>
    </xf>
    <xf numFmtId="164" applyNumberFormat="1" fontId="11" applyFont="1" fillId="0" applyFill="1" borderId="85" applyBorder="1" xfId="0" applyProtection="1" applyAlignment="1">
      <alignment horizontal="left" vertical="center"/>
    </xf>
    <xf numFmtId="49" applyNumberFormat="1" fontId="10" applyFont="1" fillId="0" applyFill="1" borderId="54" applyBorder="1" xfId="0" applyAlignment="1">
      <alignment horizontal="left" vertical="center"/>
      <protection locked="0"/>
    </xf>
    <xf numFmtId="49" applyNumberFormat="1" fontId="10" applyFont="1" fillId="0" applyFill="1" borderId="13" applyBorder="1" xfId="0" applyAlignment="1">
      <alignment horizontal="left" vertical="center"/>
      <protection locked="0"/>
    </xf>
    <xf numFmtId="49" applyNumberFormat="1" fontId="10" applyFont="1" fillId="0" applyFill="1" borderId="19" applyBorder="1" xfId="0" applyAlignment="1">
      <alignment horizontal="left" vertical="center"/>
      <protection locked="0"/>
    </xf>
    <xf numFmtId="14" applyNumberFormat="1" fontId="11" applyFont="1" fillId="0" applyFill="1" borderId="6" applyBorder="1" xfId="0" applyProtection="1" applyAlignment="1">
      <alignment horizontal="left" vertical="center"/>
    </xf>
    <xf numFmtId="14" applyNumberFormat="1" fontId="11" applyFont="1" fillId="0" applyFill="1" borderId="85" applyBorder="1" xfId="0" applyProtection="1" applyAlignment="1">
      <alignment horizontal="left" vertical="center"/>
    </xf>
    <xf numFmtId="0" applyNumberFormat="1" fontId="4" applyFont="1" fillId="0" applyFill="1" borderId="83" applyBorder="1" xfId="0" applyProtection="1" applyAlignment="1">
      <alignment horizontal="center"/>
    </xf>
    <xf numFmtId="0" applyNumberFormat="1" fontId="4" applyFont="1" fillId="0" applyFill="1" borderId="6" applyBorder="1" xfId="0" applyProtection="1" applyAlignment="1">
      <alignment horizontal="center"/>
    </xf>
    <xf numFmtId="0" applyNumberFormat="1" fontId="4" applyFont="1" fillId="0" applyFill="1" borderId="85" applyBorder="1" xfId="0" applyProtection="1" applyAlignment="1">
      <alignment horizontal="center"/>
    </xf>
    <xf numFmtId="0" applyNumberFormat="1" fontId="4" applyFont="1" fillId="0" applyFill="1" borderId="53" applyBorder="1" xfId="0" applyProtection="1" applyAlignment="1">
      <alignment horizontal="center"/>
    </xf>
    <xf numFmtId="0" applyNumberFormat="1" fontId="4" applyFont="1" fillId="0" applyFill="1" borderId="5" applyBorder="1" xfId="0" applyProtection="1" applyAlignment="1">
      <alignment horizontal="center"/>
    </xf>
    <xf numFmtId="0" applyNumberFormat="1" fontId="4" applyFont="1" fillId="0" applyFill="1" borderId="9" applyBorder="1" xfId="0" applyProtection="1" applyAlignment="1">
      <alignment horizontal="center"/>
    </xf>
    <xf numFmtId="0" applyNumberFormat="1" fontId="4" applyFont="1" fillId="0" applyFill="1" borderId="52" applyBorder="1" xfId="0" applyProtection="1" applyAlignment="1">
      <alignment horizontal="center"/>
    </xf>
    <xf numFmtId="0" applyNumberFormat="1" fontId="4" applyFont="1" fillId="0" applyFill="1" borderId="87" applyBorder="1" xfId="0" applyProtection="1" applyAlignment="1">
      <alignment horizontal="center"/>
    </xf>
    <xf numFmtId="0" applyNumberFormat="1" fontId="4" applyFont="1" fillId="0" applyFill="1" borderId="83" applyBorder="1" xfId="0" applyProtection="1" applyAlignment="1">
      <alignment horizontal="center" wrapText="1"/>
    </xf>
    <xf numFmtId="0" applyNumberFormat="1" fontId="4" applyFont="1" fillId="0" applyFill="1" borderId="85" applyBorder="1" xfId="0" applyProtection="1" applyAlignment="1">
      <alignment horizontal="center" wrapText="1"/>
    </xf>
    <xf numFmtId="0" applyNumberFormat="1" fontId="4" applyFont="1" fillId="0" applyFill="1" borderId="53" applyBorder="1" xfId="0" applyProtection="1" applyAlignment="1">
      <alignment horizontal="center" wrapText="1"/>
    </xf>
    <xf numFmtId="0" applyNumberFormat="1" fontId="4" applyFont="1" fillId="0" applyFill="1" borderId="9" applyBorder="1" xfId="0" applyProtection="1" applyAlignment="1">
      <alignment horizontal="center" wrapText="1"/>
    </xf>
    <xf numFmtId="0" applyNumberFormat="1" fontId="4" applyFont="1" fillId="0" applyFill="1" borderId="86" applyBorder="1" xfId="0" applyProtection="1" applyAlignment="1">
      <alignment horizontal="center"/>
    </xf>
    <xf numFmtId="0" applyNumberFormat="1" fontId="4" applyFont="1" fillId="0" applyFill="1" borderId="47" applyBorder="1" xfId="0" applyProtection="1" applyAlignment="1">
      <alignment horizontal="center"/>
    </xf>
    <xf numFmtId="0" applyNumberFormat="1" fontId="4" applyFont="1" fillId="0" applyFill="1" borderId="7" applyBorder="1" xfId="0" applyProtection="1" applyAlignment="1">
      <alignment horizontal="center" wrapText="1"/>
    </xf>
    <xf numFmtId="0" applyNumberFormat="1" fontId="4" applyFont="1" fillId="0" applyFill="1" borderId="16" applyBorder="1" xfId="0" applyProtection="1" applyAlignment="1">
      <alignment horizontal="center" wrapText="1"/>
    </xf>
    <xf numFmtId="0" applyNumberFormat="1" fontId="11" applyFont="1" fillId="0" applyFill="1" borderId="6" applyBorder="1" xfId="0" applyProtection="1" applyAlignment="1">
      <alignment horizontal="left" vertical="center"/>
    </xf>
    <xf numFmtId="0" applyNumberFormat="1" fontId="4" applyFont="1" fillId="0" applyFill="1" borderId="50" applyBorder="1" xfId="0" applyProtection="1" applyAlignment="1">
      <alignment horizontal="center"/>
    </xf>
    <xf numFmtId="49" applyNumberFormat="1" fontId="5" applyFont="1" fillId="0" applyFill="1" borderId="87" applyBorder="1" xfId="0" applyProtection="1" applyAlignment="1">
      <alignment horizontal="center" vertical="center"/>
    </xf>
    <xf numFmtId="49" applyNumberFormat="1" fontId="5" applyFont="1" fillId="0" applyFill="1" borderId="50" applyBorder="1" xfId="0" applyProtection="1" applyAlignment="1">
      <alignment horizontal="center" vertical="center"/>
    </xf>
    <xf numFmtId="0" applyNumberFormat="1" fontId="4" applyFont="1" fillId="0" applyFill="1" borderId="88" applyBorder="1" xfId="0" applyProtection="1" applyAlignment="1">
      <alignment horizontal="center"/>
    </xf>
    <xf numFmtId="0" applyNumberFormat="1" fontId="4" applyFont="1" fillId="0" applyFill="1" borderId="7" applyBorder="1" xfId="0" applyProtection="1" applyAlignment="1">
      <alignment horizontal="center"/>
    </xf>
    <xf numFmtId="0" applyNumberFormat="1" fontId="4" applyFont="1" fillId="0" applyFill="1" borderId="16" applyBorder="1" xfId="0" applyProtection="1" applyAlignment="1">
      <alignment horizontal="center"/>
    </xf>
    <xf numFmtId="0" applyNumberFormat="1" fontId="11" applyFont="1" fillId="0" applyFill="1" borderId="5" applyBorder="1" xfId="0" applyProtection="1" applyAlignment="1">
      <alignment horizontal="left" vertical="center"/>
    </xf>
    <xf numFmtId="49" applyNumberFormat="1" fontId="10" applyFont="1" fillId="0" applyFill="1" borderId="89" applyBorder="1" xfId="0" applyAlignment="1">
      <alignment horizontal="left" vertical="center"/>
      <protection locked="0"/>
    </xf>
    <xf numFmtId="49" applyNumberFormat="1" fontId="10" applyFont="1" fillId="0" applyFill="1" borderId="90" applyBorder="1" xfId="0" applyAlignment="1">
      <alignment horizontal="left" vertical="center"/>
      <protection locked="0"/>
    </xf>
    <xf numFmtId="49" applyNumberFormat="1" fontId="10" applyFont="1" fillId="0" applyFill="1" borderId="47" applyBorder="1" xfId="0" applyAlignment="1">
      <alignment horizontal="left" vertical="center"/>
      <protection locked="0"/>
    </xf>
    <xf numFmtId="0" applyNumberFormat="1" fontId="3" applyFont="1" fillId="7" applyFill="1" borderId="4" applyBorder="1" xfId="0" applyProtection="1" applyAlignment="1">
      <alignment horizontal="center" vertical="center"/>
    </xf>
    <xf numFmtId="0" applyNumberFormat="1" fontId="3" applyFont="1" fillId="7" applyFill="1" borderId="91" applyBorder="1" xfId="0" applyProtection="1" applyAlignment="1">
      <alignment horizontal="center" vertical="center"/>
    </xf>
    <xf numFmtId="0" applyNumberFormat="1" fontId="3" applyFont="1" fillId="7" applyFill="1" borderId="1" applyBorder="1" xfId="0" applyProtection="1" applyAlignment="1">
      <alignment horizontal="center" vertical="center"/>
    </xf>
    <xf numFmtId="3" applyNumberFormat="1" fontId="12" applyFont="1" fillId="0" applyFill="1" borderId="91" applyBorder="1" xfId="0" applyProtection="1" applyAlignment="1">
      <alignment horizontal="left" vertical="center" indent="1"/>
    </xf>
    <xf numFmtId="3" applyNumberFormat="1" fontId="12" applyFont="1" fillId="0" applyFill="1" borderId="1" applyBorder="1" xfId="0" applyProtection="1" applyAlignment="1">
      <alignment horizontal="left" vertical="center" indent="1"/>
    </xf>
    <xf numFmtId="49" applyNumberFormat="1" fontId="10" applyFont="1" fillId="0" applyFill="1" borderId="83" applyBorder="1" xfId="0" applyAlignment="1">
      <alignment horizontal="left" vertical="center"/>
      <protection locked="0"/>
    </xf>
    <xf numFmtId="49" applyNumberFormat="1" fontId="10" applyFont="1" fillId="0" applyFill="1" borderId="6" applyBorder="1" xfId="0" applyAlignment="1">
      <alignment horizontal="left" vertical="center"/>
      <protection locked="0"/>
    </xf>
    <xf numFmtId="49" applyNumberFormat="1" fontId="10" applyFont="1" fillId="0" applyFill="1" borderId="85" applyBorder="1" xfId="0" applyAlignment="1">
      <alignment horizontal="left" vertical="center"/>
      <protection locked="0"/>
    </xf>
    <xf numFmtId="1" applyNumberFormat="1" fontId="3" applyFont="1" fillId="7" applyFill="1" borderId="4" applyBorder="1" xfId="0" applyProtection="1" applyAlignment="1">
      <alignment horizontal="center" vertical="center"/>
    </xf>
    <xf numFmtId="1" applyNumberFormat="1" fontId="3" applyFont="1" fillId="7" applyFill="1" borderId="91" applyBorder="1" xfId="0" applyProtection="1" applyAlignment="1">
      <alignment horizontal="center" vertical="center"/>
    </xf>
    <xf numFmtId="1" applyNumberFormat="1" fontId="3" applyFont="1" fillId="7" applyFill="1" borderId="1" applyBorder="1" xfId="0" applyProtection="1" applyAlignment="1">
      <alignment horizontal="center" vertical="center"/>
    </xf>
    <xf numFmtId="0" applyNumberFormat="1" fontId="5" applyFont="1" fillId="7" applyFill="1" borderId="7" applyBorder="1" xfId="0" applyProtection="1" applyAlignment="1">
      <alignment horizontal="center"/>
    </xf>
    <xf numFmtId="0" applyNumberFormat="1" fontId="5" applyFont="1" fillId="7" applyFill="1" borderId="92" applyBorder="1" xfId="0" applyProtection="1" applyAlignment="1">
      <alignment horizontal="center"/>
    </xf>
    <xf numFmtId="0" applyNumberFormat="1" fontId="5" applyFont="1" fillId="7" applyFill="1" borderId="16" applyBorder="1" xfId="0" applyProtection="1" applyAlignment="1">
      <alignment horizontal="center"/>
    </xf>
    <xf numFmtId="0" applyNumberFormat="1" fontId="11" applyFont="1" fillId="0" applyFill="1" borderId="5" applyBorder="1" xfId="0" applyProtection="1" applyAlignment="1">
      <alignment horizontal="left" vertical="center"/>
    </xf>
    <xf numFmtId="0" applyNumberFormat="1" fontId="11" applyFont="1" fillId="0" applyFill="1" borderId="6" applyBorder="1" xfId="0" applyProtection="1" applyAlignment="1">
      <alignment horizontal="left" vertical="center"/>
    </xf>
    <xf numFmtId="0" applyNumberFormat="1" fontId="5" applyFont="1" fillId="0" applyFill="1" borderId="7" applyBorder="1" xfId="0" applyProtection="1" applyAlignment="1">
      <alignment horizontal="center" vertical="center"/>
    </xf>
    <xf numFmtId="0" applyNumberFormat="1" fontId="5" applyFont="1" fillId="0" applyFill="1" borderId="16" applyBorder="1" xfId="0" applyProtection="1" applyAlignment="1">
      <alignment horizontal="center" vertical="center"/>
    </xf>
    <xf numFmtId="0" applyNumberFormat="1" fontId="5" applyFont="1" fillId="0" applyFill="1" borderId="83" applyBorder="1" xfId="0" applyProtection="1" applyAlignment="1">
      <alignment horizontal="right" vertical="center"/>
    </xf>
    <xf numFmtId="0" applyNumberFormat="1" fontId="5" applyFont="1" fillId="0" applyFill="1" borderId="6" applyBorder="1" xfId="0" applyProtection="1" applyAlignment="1">
      <alignment horizontal="right" vertical="center"/>
    </xf>
    <xf numFmtId="0" applyNumberFormat="1" fontId="5" applyFont="1" fillId="0" applyFill="1" borderId="53" applyBorder="1" xfId="0" applyProtection="1" applyAlignment="1">
      <alignment horizontal="right" vertical="center"/>
    </xf>
    <xf numFmtId="0" applyNumberFormat="1" fontId="5" applyFont="1" fillId="0" applyFill="1" borderId="5" applyBorder="1" xfId="0" applyProtection="1" applyAlignment="1">
      <alignment horizontal="right" vertical="center"/>
    </xf>
    <xf numFmtId="49" applyNumberFormat="1" fontId="3" applyFont="1" fillId="7" applyFill="1" borderId="4" applyBorder="1" xfId="0" applyProtection="1" applyAlignment="1">
      <alignment horizontal="center" vertical="center"/>
    </xf>
    <xf numFmtId="0" applyNumberFormat="1" fontId="0" applyFont="1" fillId="7" applyFill="1" borderId="91" applyBorder="1" xfId="0" applyProtection="1" applyAlignment="1">
      <alignment horizontal="center" vertical="center"/>
    </xf>
    <xf numFmtId="0" applyNumberFormat="1" fontId="0" applyFont="1" fillId="7" applyFill="1" borderId="1" applyBorder="1" xfId="0" applyProtection="1" applyAlignment="1">
      <alignment horizontal="center" vertical="center"/>
    </xf>
    <xf numFmtId="1" applyNumberFormat="1" fontId="5" applyFont="1" fillId="0" applyFill="1" borderId="4" applyBorder="1" xfId="0" applyProtection="1" applyAlignment="1">
      <alignment horizontal="right" vertical="center"/>
    </xf>
    <xf numFmtId="1" applyNumberFormat="1" fontId="5" applyFont="1" fillId="0" applyFill="1" borderId="91" applyBorder="1" xfId="0" applyProtection="1" applyAlignment="1">
      <alignment horizontal="right" vertical="center"/>
    </xf>
    <xf numFmtId="14" applyNumberFormat="1" fontId="11" applyFont="1" fillId="0" applyFill="1" borderId="6" applyBorder="1" xfId="0" applyProtection="1" applyAlignment="1">
      <alignment horizontal="left" vertical="center"/>
    </xf>
    <xf numFmtId="14" applyNumberFormat="1" fontId="11" applyFont="1" fillId="0" applyFill="1" borderId="85" applyBorder="1" xfId="0" applyProtection="1" applyAlignment="1">
      <alignment horizontal="left" vertical="center"/>
    </xf>
    <xf numFmtId="49" applyNumberFormat="1" fontId="10" applyFont="1" fillId="0" applyFill="1" borderId="12" applyBorder="1" xfId="0" applyAlignment="1">
      <alignment horizontal="center" vertical="center"/>
      <protection locked="0"/>
    </xf>
    <xf numFmtId="49" applyNumberFormat="1" fontId="10" applyFont="1" fillId="0" applyFill="1" borderId="35" applyBorder="1" xfId="0" applyAlignment="1">
      <alignment horizontal="center" vertical="center"/>
      <protection locked="0"/>
    </xf>
    <xf numFmtId="49" applyNumberFormat="1" fontId="10" applyFont="1" fillId="0" applyFill="1" borderId="30" applyBorder="1" xfId="0" applyAlignment="1">
      <alignment horizontal="center" vertical="center"/>
      <protection locked="0"/>
    </xf>
    <xf numFmtId="49" applyNumberFormat="1" fontId="10" applyFont="1" fillId="0" applyFill="1" borderId="93" applyBorder="1" xfId="0" applyAlignment="1">
      <alignment horizontal="center" vertical="center"/>
      <protection locked="0"/>
    </xf>
    <xf numFmtId="49" applyNumberFormat="1" fontId="10" applyFont="1" fillId="0" applyFill="1" borderId="22" applyBorder="1" xfId="0" applyAlignment="1">
      <alignment horizontal="center" vertical="center"/>
      <protection locked="0"/>
    </xf>
    <xf numFmtId="49" applyNumberFormat="1" fontId="10" applyFont="1" fillId="0" applyFill="1" borderId="94" applyBorder="1" xfId="0" applyAlignment="1">
      <alignment horizontal="center" vertical="center"/>
      <protection locked="0"/>
    </xf>
    <xf numFmtId="1" applyNumberFormat="1" fontId="5" applyFont="1" fillId="0" applyFill="1" borderId="4" applyBorder="1" xfId="0" applyProtection="1" applyAlignment="1">
      <alignment horizontal="right" vertical="center"/>
    </xf>
    <xf numFmtId="1" applyNumberFormat="1" fontId="5" applyFont="1" fillId="0" applyFill="1" borderId="91" applyBorder="1" xfId="0" applyProtection="1" applyAlignment="1">
      <alignment horizontal="right" vertical="center"/>
    </xf>
    <xf numFmtId="49" applyNumberFormat="1" fontId="3" applyFont="1" fillId="7" applyFill="1" borderId="4" applyBorder="1" xfId="0" applyProtection="1" applyAlignment="1">
      <alignment horizontal="center" vertical="center"/>
    </xf>
    <xf numFmtId="49" applyNumberFormat="1" fontId="3" applyFont="1" fillId="7" applyFill="1" borderId="91" applyBorder="1" xfId="0" applyProtection="1" applyAlignment="1">
      <alignment horizontal="center" vertical="center"/>
    </xf>
    <xf numFmtId="49" applyNumberFormat="1" fontId="3" applyFont="1" fillId="7" applyFill="1" borderId="1" applyBorder="1" xfId="0" applyProtection="1" applyAlignment="1">
      <alignment horizontal="center" vertical="center"/>
    </xf>
    <xf numFmtId="0" applyNumberFormat="1" fontId="14" applyFont="1" fillId="0" applyFill="1" borderId="5" applyBorder="1" xfId="0" applyProtection="1" applyAlignment="1">
      <alignment horizontal="left" vertical="center"/>
    </xf>
    <xf numFmtId="0" applyNumberFormat="1" fontId="5" applyFont="1" fillId="7" applyFill="1" borderId="7" applyBorder="1" xfId="0" applyProtection="1" applyAlignment="1">
      <alignment horizontal="center"/>
    </xf>
    <xf numFmtId="0" applyNumberFormat="1" fontId="5" applyFont="1" fillId="7" applyFill="1" borderId="92" applyBorder="1" xfId="0" applyProtection="1" applyAlignment="1">
      <alignment horizontal="center"/>
    </xf>
    <xf numFmtId="0" applyNumberFormat="1" fontId="5" applyFont="1" fillId="7" applyFill="1" borderId="16" applyBorder="1" xfId="0" applyProtection="1" applyAlignment="1">
      <alignment horizontal="center"/>
    </xf>
    <xf numFmtId="0" applyNumberFormat="1" fontId="5" applyFont="1" fillId="0" applyFill="1" borderId="4" applyBorder="1" xfId="0" applyProtection="1" applyAlignment="1">
      <alignment horizontal="center"/>
    </xf>
    <xf numFmtId="0" applyNumberFormat="1" fontId="5" applyFont="1" fillId="0" applyFill="1" borderId="1" applyBorder="1" xfId="0" applyProtection="1" applyAlignment="1">
      <alignment horizontal="center"/>
    </xf>
    <xf numFmtId="0" applyNumberFormat="1" fontId="22" applyFont="1" fillId="3" applyFill="1" borderId="66" applyBorder="1" xfId="0" applyProtection="1" applyAlignment="1">
      <alignment horizontal="center" vertical="center"/>
      <protection hidden="1"/>
    </xf>
    <xf numFmtId="0" applyNumberFormat="1" fontId="0" applyFont="1" fillId="3" applyFill="1" borderId="66" applyBorder="1" xfId="0" applyProtection="1">
      <protection hidden="1"/>
    </xf>
    <xf numFmtId="0" applyNumberFormat="1" fontId="22" applyFont="1" fillId="6" applyFill="1" borderId="95" applyBorder="1" xfId="0" applyProtection="1" applyAlignment="1">
      <alignment horizontal="center" vertical="center"/>
      <protection hidden="1"/>
    </xf>
    <xf numFmtId="0" applyNumberFormat="1" fontId="0" applyFont="1" fillId="6" applyFill="1" borderId="96" applyBorder="1" xfId="0" applyProtection="1">
      <protection hidden="1"/>
    </xf>
    <xf numFmtId="0" applyNumberFormat="1" fontId="0" applyFont="1" fillId="6" applyFill="1" borderId="97" applyBorder="1" xfId="0" applyProtection="1">
      <protection hidden="1"/>
    </xf>
    <xf numFmtId="0" applyNumberFormat="1" fontId="5" applyFont="1" fillId="0" applyFill="1" borderId="91" applyBorder="1" xfId="0" applyProtection="1" applyAlignment="1">
      <alignment horizontal="center"/>
    </xf>
    <xf numFmtId="0" applyNumberFormat="1" fontId="10" applyFont="1" fillId="0" applyFill="1" borderId="22" applyBorder="1" xfId="0" applyAlignment="1">
      <alignment horizontal="center"/>
      <protection locked="0"/>
    </xf>
    <xf numFmtId="0" applyNumberFormat="1" fontId="10" applyFont="1" fillId="0" applyFill="1" borderId="26" applyBorder="1" xfId="0" applyAlignment="1">
      <alignment horizontal="center"/>
      <protection locked="0"/>
    </xf>
    <xf numFmtId="0" applyNumberFormat="1" fontId="10" applyFont="1" fillId="0" applyFill="1" borderId="94" applyBorder="1" xfId="0" applyAlignment="1">
      <alignment horizontal="center"/>
      <protection locked="0"/>
    </xf>
    <xf numFmtId="0" applyNumberFormat="1" fontId="10" applyFont="1" fillId="0" applyFill="1" borderId="12" applyBorder="1" xfId="0" applyAlignment="1">
      <alignment horizontal="center"/>
      <protection locked="0"/>
    </xf>
    <xf numFmtId="0" applyNumberFormat="1" fontId="10" applyFont="1" fillId="0" applyFill="1" borderId="13" applyBorder="1" xfId="0" applyAlignment="1">
      <alignment horizontal="center"/>
      <protection locked="0"/>
    </xf>
    <xf numFmtId="0" applyNumberFormat="1" fontId="10" applyFont="1" fillId="0" applyFill="1" borderId="35" applyBorder="1" xfId="0" applyAlignment="1">
      <alignment horizontal="center"/>
      <protection locked="0"/>
    </xf>
    <xf numFmtId="0" applyNumberFormat="1" fontId="10" applyFont="1" fillId="0" applyFill="1" borderId="30" applyBorder="1" xfId="0" applyAlignment="1">
      <alignment horizontal="center"/>
      <protection locked="0"/>
    </xf>
    <xf numFmtId="0" applyNumberFormat="1" fontId="10" applyFont="1" fillId="0" applyFill="1" borderId="28" applyBorder="1" xfId="0" applyAlignment="1">
      <alignment horizontal="center"/>
      <protection locked="0"/>
    </xf>
    <xf numFmtId="0" applyNumberFormat="1" fontId="10" applyFont="1" fillId="0" applyFill="1" borderId="93" applyBorder="1" xfId="0" applyAlignment="1">
      <alignment horizontal="center"/>
      <protection locked="0"/>
    </xf>
    <xf numFmtId="49" applyNumberFormat="1" fontId="6" applyFont="1" fillId="7" applyFill="1" borderId="4" applyBorder="1" xfId="0" applyProtection="1" applyAlignment="1">
      <alignment horizontal="center" vertical="center"/>
    </xf>
    <xf numFmtId="49" applyNumberFormat="1" fontId="6" applyFont="1" fillId="7" applyFill="1" borderId="91" applyBorder="1" xfId="0" applyProtection="1" applyAlignment="1">
      <alignment horizontal="center" vertical="center"/>
    </xf>
    <xf numFmtId="49" applyNumberFormat="1" fontId="6" applyFont="1" fillId="7" applyFill="1" borderId="1" applyBorder="1" xfId="0" applyProtection="1" applyAlignment="1">
      <alignment horizontal="center" vertical="center"/>
    </xf>
    <xf numFmtId="0" applyNumberFormat="1" fontId="0" applyFont="1" fillId="0" applyFill="1" borderId="91" applyBorder="1" xfId="0" applyProtection="1"/>
    <xf numFmtId="0" applyNumberFormat="1" fontId="5" applyFont="1" fillId="0" applyFill="1" borderId="2" applyBorder="1" xfId="0" applyProtection="1" applyAlignment="1">
      <alignment horizontal="center"/>
    </xf>
    <xf numFmtId="0" applyNumberFormat="1" fontId="14" applyFont="1" fillId="0" applyFill="1" borderId="6" applyBorder="1" xfId="0" applyProtection="1" applyAlignment="1">
      <alignment horizontal="left" vertical="center"/>
    </xf>
    <xf numFmtId="49" applyNumberFormat="1" fontId="5" applyFont="1" fillId="0" applyFill="1" borderId="4" applyBorder="1" xfId="0" applyProtection="1" applyAlignment="1">
      <alignment horizontal="center"/>
    </xf>
    <xf numFmtId="49" applyNumberFormat="1" fontId="5" applyFont="1" fillId="0" applyFill="1" borderId="91" applyBorder="1" xfId="0" applyProtection="1" applyAlignment="1">
      <alignment horizontal="center"/>
    </xf>
    <xf numFmtId="49" applyNumberFormat="1" fontId="5" applyFont="1" fillId="0" applyFill="1" borderId="1" applyBorder="1" xfId="0" applyProtection="1" applyAlignment="1">
      <alignment horizontal="center"/>
    </xf>
    <xf numFmtId="0" applyNumberFormat="1" fontId="9" applyFont="1" fillId="0" applyFill="1" borderId="49" applyBorder="1" xfId="0" applyProtection="1" applyAlignment="1">
      <alignment horizontal="center"/>
    </xf>
    <xf numFmtId="0" applyNumberFormat="1" fontId="9" applyFont="1" fillId="0" applyFill="1" borderId="56" applyBorder="1" xfId="0" applyProtection="1" applyAlignment="1">
      <alignment horizontal="center"/>
    </xf>
    <xf numFmtId="0" applyNumberFormat="1" fontId="16" applyFont="1" fillId="0" applyFill="1" borderId="0" applyBorder="1" xfId="0" applyAlignment="1">
      <alignment horizontal="left"/>
      <protection locked="0"/>
    </xf>
    <xf numFmtId="0" applyNumberFormat="1" fontId="17" applyFont="1" fillId="0" applyFill="1" borderId="0" applyBorder="1" xfId="0">
      <protection locked="0"/>
    </xf>
    <xf numFmtId="0" applyNumberFormat="1" fontId="17" applyFont="1" fillId="0" applyFill="1" borderId="41" applyBorder="1" xfId="0">
      <protection locked="0"/>
    </xf>
    <xf numFmtId="0" applyNumberFormat="1" fontId="9" applyFont="1" fillId="0" applyFill="1" borderId="84" applyBorder="1" xfId="0" applyProtection="1" applyAlignment="1">
      <alignment horizontal="right"/>
    </xf>
    <xf numFmtId="0" applyNumberFormat="1" fontId="9" applyFont="1" fillId="0" applyFill="1" borderId="0" applyBorder="1" xfId="0" applyProtection="1" applyAlignment="1">
      <alignment horizontal="right"/>
    </xf>
    <xf numFmtId="0" applyNumberFormat="1" fontId="9" applyFont="1" fillId="0" applyFill="1" borderId="5" applyBorder="1" xfId="0" applyProtection="1" applyAlignment="1">
      <alignment horizontal="right"/>
    </xf>
    <xf numFmtId="0" applyNumberFormat="1" fontId="17" applyFont="1" fillId="0" applyFill="1" borderId="5" applyBorder="1" xfId="0" applyProtection="1"/>
    <xf numFmtId="49" applyNumberFormat="1" fontId="16" applyFont="1" fillId="0" applyFill="1" borderId="5" applyBorder="1" xfId="0" applyAlignment="1">
      <alignment horizontal="left"/>
      <protection locked="0"/>
    </xf>
    <xf numFmtId="0" applyNumberFormat="1" fontId="16" applyFont="1" fillId="0" applyFill="1" borderId="5" applyBorder="1" xfId="0" applyProtection="1" applyAlignment="1">
      <alignment horizontal="center"/>
    </xf>
    <xf numFmtId="164" applyNumberFormat="1" fontId="16" applyFont="1" fillId="0" applyFill="1" borderId="6" applyBorder="1" xfId="0" applyAlignment="1">
      <alignment horizontal="left"/>
      <protection locked="0"/>
    </xf>
    <xf numFmtId="164" applyNumberFormat="1" fontId="16" applyFont="1" fillId="0" applyFill="1" borderId="85" applyBorder="1" xfId="0" applyAlignment="1">
      <alignment horizontal="left"/>
      <protection locked="0"/>
    </xf>
    <xf numFmtId="0" applyNumberFormat="1" fontId="9" applyFont="1" fillId="0" applyFill="1" borderId="83" applyBorder="1" xfId="0" applyProtection="1" applyAlignment="1">
      <alignment horizontal="right"/>
    </xf>
    <xf numFmtId="0" applyNumberFormat="1" fontId="17" applyFont="1" fillId="0" applyFill="1" borderId="6" applyBorder="1" xfId="0" applyProtection="1"/>
    <xf numFmtId="0" applyNumberFormat="1" fontId="16" applyFont="1" fillId="0" applyFill="1" borderId="6" applyBorder="1" xfId="0" applyAlignment="1">
      <alignment horizontal="left"/>
      <protection locked="0"/>
    </xf>
    <xf numFmtId="49" applyNumberFormat="1" fontId="16" applyFont="1" fillId="0" applyFill="1" borderId="6" applyBorder="1" xfId="0" applyAlignment="1">
      <alignment horizontal="left"/>
      <protection locked="0"/>
    </xf>
    <xf numFmtId="49" applyNumberFormat="1" fontId="10" applyFont="1" fillId="0" applyFill="1" borderId="13" applyBorder="1" xfId="0" applyAlignment="1">
      <alignment horizontal="left"/>
      <protection locked="0"/>
    </xf>
    <xf numFmtId="49" applyNumberFormat="1" fontId="10" applyFont="1" fillId="0" applyFill="1" borderId="19" applyBorder="1" xfId="0" applyAlignment="1">
      <alignment horizontal="left"/>
      <protection locked="0"/>
    </xf>
    <xf numFmtId="49" applyNumberFormat="1" fontId="16" applyFont="1" fillId="0" applyFill="1" borderId="0" applyBorder="1" xfId="0" applyAlignment="1">
      <alignment horizontal="left"/>
      <protection locked="0"/>
    </xf>
    <xf numFmtId="0" applyNumberFormat="1" fontId="9" applyFont="1" fillId="0" applyFill="1" borderId="84" applyBorder="1" xfId="0" applyProtection="1" applyAlignment="1">
      <alignment horizontal="center"/>
    </xf>
    <xf numFmtId="0" applyNumberFormat="1" fontId="9" applyFont="1" fillId="0" applyFill="1" borderId="0" applyBorder="1" xfId="0" applyProtection="1" applyAlignment="1">
      <alignment horizontal="center"/>
    </xf>
    <xf numFmtId="0" applyNumberFormat="1" fontId="9" applyFont="1" fillId="0" applyFill="1" borderId="53" applyBorder="1" xfId="0" applyProtection="1" applyAlignment="1">
      <alignment horizontal="center"/>
    </xf>
    <xf numFmtId="0" applyNumberFormat="1" fontId="9" applyFont="1" fillId="0" applyFill="1" borderId="5" applyBorder="1" xfId="0" applyProtection="1" applyAlignment="1">
      <alignment horizontal="center"/>
    </xf>
    <xf numFmtId="164" applyNumberFormat="1" fontId="16" applyFont="1" fillId="0" applyFill="1" borderId="0" applyBorder="1" xfId="0" applyAlignment="1">
      <alignment horizontal="left"/>
      <protection locked="0"/>
    </xf>
    <xf numFmtId="0" applyNumberFormat="1" fontId="16" applyFont="1" fillId="0" applyFill="1" borderId="41" applyBorder="1" xfId="0" applyAlignment="1">
      <alignment horizontal="left"/>
      <protection locked="0"/>
    </xf>
    <xf numFmtId="0" applyNumberFormat="1" fontId="9" applyFont="1" fillId="0" applyFill="1" borderId="87" applyBorder="1" xfId="0" applyProtection="1" applyAlignment="1">
      <alignment horizontal="center"/>
    </xf>
    <xf numFmtId="49" applyNumberFormat="1" fontId="16" applyFont="1" fillId="0" applyFill="1" borderId="41" applyBorder="1" xfId="0" applyAlignment="1">
      <alignment horizontal="left"/>
      <protection locked="0"/>
    </xf>
    <xf numFmtId="0" applyNumberFormat="1" fontId="9" applyFont="1" fillId="0" applyFill="1" borderId="91" applyBorder="1" xfId="0" applyProtection="1" applyAlignment="1">
      <alignment horizontal="right"/>
    </xf>
    <xf numFmtId="0" applyNumberFormat="1" fontId="16" applyFont="1" fillId="0" applyFill="1" borderId="91" applyBorder="1" xfId="0" applyAlignment="1">
      <alignment horizontal="left"/>
      <protection locked="0"/>
    </xf>
    <xf numFmtId="0" applyNumberFormat="1" fontId="16" applyFont="1" fillId="0" applyFill="1" borderId="1" applyBorder="1" xfId="0" applyAlignment="1">
      <alignment horizontal="left"/>
      <protection locked="0"/>
    </xf>
    <xf numFmtId="0" applyNumberFormat="1" fontId="9" applyFont="1" fillId="0" applyFill="1" borderId="4" applyBorder="1" xfId="0" applyProtection="1" applyAlignment="1">
      <alignment horizontal="left"/>
    </xf>
    <xf numFmtId="0" applyNumberFormat="1" fontId="9" applyFont="1" fillId="0" applyFill="1" borderId="98" applyBorder="1" xfId="0" applyProtection="1" applyAlignment="1">
      <alignment horizontal="left"/>
    </xf>
    <xf numFmtId="164" applyNumberFormat="1" fontId="16" applyFont="1" fillId="0" applyFill="1" borderId="41" applyBorder="1" xfId="0" applyAlignment="1">
      <alignment horizontal="left"/>
      <protection locked="0"/>
    </xf>
    <xf numFmtId="0" applyNumberFormat="1" fontId="17" applyFont="1" fillId="0" applyFill="1" borderId="6" applyBorder="1" xfId="0">
      <protection locked="0"/>
    </xf>
    <xf numFmtId="0" applyNumberFormat="1" fontId="17" applyFont="1" fillId="0" applyFill="1" borderId="85" applyBorder="1" xfId="0">
      <protection locked="0"/>
    </xf>
    <xf numFmtId="0" applyNumberFormat="1" fontId="4" applyFont="1" fillId="3" applyFill="1" borderId="0" applyBorder="1" xfId="0" applyProtection="1" applyAlignment="1">
      <alignment horizontal="center" vertical="center"/>
    </xf>
    <xf numFmtId="0" applyNumberFormat="1" fontId="18" applyFont="1" fillId="0" applyFill="1" borderId="83" applyBorder="1" xfId="0" applyProtection="1" applyAlignment="1">
      <alignment horizontal="right" indent="6"/>
    </xf>
    <xf numFmtId="0" applyNumberFormat="1" fontId="5" applyFont="1" fillId="0" applyFill="1" borderId="6" applyBorder="1" xfId="0" applyProtection="1" applyAlignment="1">
      <alignment horizontal="right" indent="6"/>
    </xf>
    <xf numFmtId="0" applyNumberFormat="1" fontId="9" applyFont="1" fillId="0" applyFill="1" borderId="6" applyBorder="1" xfId="0" applyProtection="1" applyAlignment="1">
      <alignment horizontal="right"/>
    </xf>
    <xf numFmtId="0" applyNumberFormat="1" fontId="16" applyFont="1" fillId="0" applyFill="1" borderId="9" applyBorder="1" xfId="0" applyProtection="1" applyAlignment="1">
      <alignment horizontal="center"/>
    </xf>
    <xf numFmtId="0" applyNumberFormat="1" fontId="16" applyFont="1" fillId="0" applyFill="1" borderId="5" applyBorder="1" xfId="0" applyAlignment="1">
      <alignment horizontal="left"/>
      <protection locked="0"/>
    </xf>
    <xf numFmtId="0" applyNumberFormat="1" fontId="2" applyFont="1" fillId="0" applyFill="1" borderId="84" applyBorder="1" xfId="0" applyProtection="1" applyAlignment="1">
      <alignment horizontal="center"/>
    </xf>
    <xf numFmtId="0" applyNumberFormat="1" fontId="2" applyFont="1" fillId="0" applyFill="1" borderId="0" applyBorder="1" xfId="0" applyProtection="1" applyAlignment="1">
      <alignment horizontal="center"/>
    </xf>
    <xf numFmtId="0" applyNumberFormat="1" fontId="9" applyFont="1" fillId="0" applyFill="1" borderId="4" applyBorder="1" xfId="0" applyProtection="1" applyAlignment="1">
      <alignment horizontal="center"/>
    </xf>
    <xf numFmtId="0" applyNumberFormat="1" fontId="9" applyFont="1" fillId="0" applyFill="1" borderId="91" applyBorder="1" xfId="0" applyProtection="1" applyAlignment="1">
      <alignment horizontal="center"/>
    </xf>
    <xf numFmtId="0" applyNumberFormat="1" fontId="9" applyFont="1" fillId="0" applyFill="1" borderId="1" applyBorder="1" xfId="0" applyProtection="1" applyAlignment="1">
      <alignment horizontal="center"/>
    </xf>
    <xf numFmtId="3" applyNumberFormat="1" fontId="11" applyFont="1" fillId="0" applyFill="1" borderId="91" applyBorder="1" xfId="1" applyProtection="1" applyAlignment="1">
      <alignment horizontal="left"/>
    </xf>
    <xf numFmtId="3" applyNumberFormat="1" fontId="11" applyFont="1" fillId="0" applyFill="1" borderId="1" applyBorder="1" xfId="1" applyProtection="1" applyAlignment="1">
      <alignment horizontal="left"/>
    </xf>
    <xf numFmtId="0" applyNumberFormat="1" fontId="9" applyFont="1" fillId="0" applyFill="1" borderId="53" applyBorder="1" xfId="0" applyProtection="1" applyAlignment="1">
      <alignment horizontal="right"/>
    </xf>
    <xf numFmtId="0" applyNumberFormat="1" fontId="17" applyFont="1" fillId="0" applyFill="1" borderId="5" applyBorder="1" xfId="0" applyProtection="1" applyAlignment="1">
      <alignment horizontal="right"/>
    </xf>
    <xf numFmtId="0" applyNumberFormat="1" fontId="4" applyFont="1" fillId="0" applyFill="1" borderId="0" applyBorder="1" xfId="0" applyProtection="1" applyAlignment="1">
      <alignment horizontal="right"/>
      <protection hidden="1"/>
    </xf>
    <xf numFmtId="0" applyNumberFormat="1" fontId="2" applyFont="1" fillId="0" applyFill="1" borderId="77" applyBorder="1" xfId="0" applyProtection="1" applyAlignment="1">
      <alignment horizontal="left"/>
      <protection hidden="1"/>
    </xf>
    <xf numFmtId="0" applyNumberFormat="1" fontId="2" applyFont="1" fillId="0" applyFill="1" borderId="99" applyBorder="1" xfId="0" applyProtection="1" applyAlignment="1">
      <alignment horizontal="left"/>
      <protection hidden="1"/>
    </xf>
    <xf numFmtId="0" applyNumberFormat="1" fontId="2" applyFont="1" fillId="0" applyFill="1" borderId="77" applyBorder="1" xfId="0" applyProtection="1" applyAlignment="1">
      <alignment horizontal="left"/>
      <protection hidden="1"/>
    </xf>
    <xf numFmtId="0" applyNumberFormat="1" fontId="2" applyFont="1" fillId="0" applyFill="1" borderId="99" applyBorder="1" xfId="0" applyProtection="1" applyAlignment="1">
      <alignment horizontal="left"/>
      <protection hidden="1"/>
    </xf>
    <xf numFmtId="0" applyNumberFormat="1" fontId="2" applyFont="1" fillId="0" applyFill="1" borderId="81" applyBorder="1" xfId="0" applyProtection="1" applyAlignment="1">
      <alignment horizontal="left"/>
      <protection hidden="1"/>
    </xf>
    <xf numFmtId="0" applyNumberFormat="1" fontId="2" applyFont="1" fillId="0" applyFill="1" borderId="101" applyBorder="1" xfId="0" applyProtection="1" applyAlignment="1">
      <alignment horizontal="left"/>
      <protection hidden="1"/>
    </xf>
    <xf numFmtId="0" applyNumberFormat="1" fontId="2" applyFont="1" fillId="0" applyFill="1" borderId="79" applyBorder="1" xfId="0" applyProtection="1" applyAlignment="1">
      <alignment horizontal="left"/>
      <protection hidden="1"/>
    </xf>
    <xf numFmtId="0" applyNumberFormat="1" fontId="2" applyFont="1" fillId="0" applyFill="1" borderId="100" applyBorder="1" xfId="0" applyProtection="1" applyAlignment="1">
      <alignment horizontal="left"/>
      <protection hidden="1"/>
    </xf>
    <xf numFmtId="0" applyNumberFormat="1" fontId="27" applyFont="1" fillId="0" applyFill="1" borderId="0" applyBorder="1" xfId="0" applyProtection="1" applyAlignment="1">
      <alignment horizontal="right" vertical="center"/>
      <protection hidden="1"/>
    </xf>
    <xf numFmtId="0" applyNumberFormat="1" fontId="4" applyFont="1" fillId="0" applyFill="1" borderId="102" applyBorder="1" xfId="0" applyProtection="1" applyAlignment="1">
      <alignment horizontal="center"/>
      <protection hidden="1"/>
    </xf>
    <xf numFmtId="0" applyNumberFormat="1" fontId="4" applyFont="1" fillId="0" applyFill="1" borderId="103" applyBorder="1" xfId="0" applyProtection="1" applyAlignment="1">
      <alignment horizontal="center"/>
      <protection hidden="1"/>
    </xf>
    <xf numFmtId="0" applyNumberFormat="1" fontId="4" applyFont="1" fillId="0" applyFill="1" borderId="104" applyBorder="1" xfId="0" applyProtection="1" applyAlignment="1">
      <alignment horizontal="center"/>
      <protection hidden="1"/>
    </xf>
    <xf numFmtId="0" applyNumberFormat="1" fontId="4" applyFont="1" fillId="0" applyFill="1" borderId="5" applyBorder="1" xfId="0" applyProtection="1" applyAlignment="1">
      <alignment horizontal="center"/>
      <protection hidden="1"/>
    </xf>
    <xf numFmtId="0" applyNumberFormat="1" fontId="4" applyFont="1" fillId="0" applyFill="1" borderId="0" applyBorder="1" xfId="0" applyProtection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attachedToolbars" Target="attachedToolbars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2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5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0" Type="http://schemas.openxmlformats.org/officeDocument/2006/relationships/worksheet" Target="worksheets/sheet53.xml"/></Relationships>
</file>

<file path=xl/activeX/_rels/activeX1.xml.rels><?xml version="1.0" encoding="UTF-8" standalone="yes"?>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<Relationships xmlns="http://schemas.openxmlformats.org/package/2006/relationships"><Relationship Id="rId2" Type="http://schemas.openxmlformats.org/officeDocument/2006/relationships/externalLinkPath" Target="TAKEOFF%20CONCEPT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rien Shannon" refreshedDate="43045.611110879632" createdVersion="5" refreshedVersion="5" minRefreshableVersion="3" recordCount="52">
  <cacheSource type="worksheet">
    <worksheetSource name="ProjectTypes" r:id="rId2"/>
  </cacheSource>
  <cacheFields count="2">
    <cacheField name="Project Category" numFmtId="0">
      <sharedItems count="18">
        <s v=""/>
        <s v="Apartments/Condos"/>
        <s v="Bridge"/>
        <s v="Commercial"/>
        <s v="Dormitories"/>
        <s v="Education"/>
        <s v="Elderly/Assisted Living"/>
        <s v="Federal Facilities"/>
        <s v="Hotel/Motel"/>
        <s v="Industrial"/>
        <s v="Laboratories"/>
        <s v="Medical"/>
        <s v="Misc."/>
        <s v="Public Buildings"/>
        <s v="Recreation"/>
        <s v="Religious &amp; Funeral"/>
        <s v="Transportation"/>
        <s v="Utilities"/>
      </sharedItems>
    </cacheField>
    <cacheField name="Project 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x v="0"/>
    <s v=""/>
  </r>
  <r>
    <x v="1"/>
    <s v="Apartments/Condos"/>
  </r>
  <r>
    <x v="2"/>
    <s v="Bridge"/>
  </r>
  <r>
    <x v="3"/>
    <s v="Bank"/>
  </r>
  <r>
    <x v="3"/>
    <s v="Data Center/Clean Room"/>
  </r>
  <r>
    <x v="3"/>
    <s v="Food/Beverage"/>
  </r>
  <r>
    <x v="3"/>
    <s v="Office"/>
  </r>
  <r>
    <x v="3"/>
    <s v="Retail"/>
  </r>
  <r>
    <x v="3"/>
    <s v="Shopping Center/Strip Mall"/>
  </r>
  <r>
    <x v="3"/>
    <s v="Supermarket/Convienience"/>
  </r>
  <r>
    <x v="4"/>
    <s v="Dormitories"/>
  </r>
  <r>
    <x v="5"/>
    <s v="College/University"/>
  </r>
  <r>
    <x v="5"/>
    <s v="K-12"/>
  </r>
  <r>
    <x v="5"/>
    <s v="Library"/>
  </r>
  <r>
    <x v="5"/>
    <s v="Misc. Education"/>
  </r>
  <r>
    <x v="5"/>
    <s v="Primary School"/>
  </r>
  <r>
    <x v="5"/>
    <s v="Vocational School"/>
  </r>
  <r>
    <x v="6"/>
    <s v="Elderly/Assisted Living"/>
  </r>
  <r>
    <x v="7"/>
    <s v="Military Facility"/>
  </r>
  <r>
    <x v="7"/>
    <s v="Space Facility"/>
  </r>
  <r>
    <x v="8"/>
    <s v="Hotel/Motel"/>
  </r>
  <r>
    <x v="9"/>
    <s v="Manufacturing Bldg."/>
  </r>
  <r>
    <x v="9"/>
    <s v="Refrigerated Warehouse"/>
  </r>
  <r>
    <x v="9"/>
    <s v="Warehouse"/>
  </r>
  <r>
    <x v="10"/>
    <s v="Testing/Research/Development"/>
  </r>
  <r>
    <x v="11"/>
    <s v="Clinical/Medical Office"/>
  </r>
  <r>
    <x v="11"/>
    <s v="Hospital"/>
  </r>
  <r>
    <x v="11"/>
    <s v="Nursing/Convalescent Center"/>
  </r>
  <r>
    <x v="12"/>
    <s v="Misc. Stock Deck"/>
  </r>
  <r>
    <x v="13"/>
    <s v="Capitol/Courthouse/City"/>
  </r>
  <r>
    <x v="13"/>
    <s v="Fire/Police Station"/>
  </r>
  <r>
    <x v="13"/>
    <s v="Prison/Jail"/>
  </r>
  <r>
    <x v="14"/>
    <s v="Athletic Facility"/>
  </r>
  <r>
    <x v="14"/>
    <s v="Beach/Marina Facility"/>
  </r>
  <r>
    <x v="14"/>
    <s v="Convention &amp; Exhibit Center"/>
  </r>
  <r>
    <x v="14"/>
    <s v="Indoor Arena"/>
  </r>
  <r>
    <x v="14"/>
    <s v="Misc. Recreation"/>
  </r>
  <r>
    <x v="14"/>
    <s v="Museum"/>
  </r>
  <r>
    <x v="14"/>
    <s v="Social Club"/>
  </r>
  <r>
    <x v="14"/>
    <s v="Stadium"/>
  </r>
  <r>
    <x v="14"/>
    <s v="Swimming Pool"/>
  </r>
  <r>
    <x v="14"/>
    <s v="Theater/Auditorium"/>
  </r>
  <r>
    <x v="15"/>
    <s v="Religious &amp; Funeral"/>
  </r>
  <r>
    <x v="16"/>
    <s v="Aircraft Sales/Service"/>
  </r>
  <r>
    <x v="16"/>
    <s v="Airline Terminal"/>
  </r>
  <r>
    <x v="16"/>
    <s v="Parking Garage"/>
  </r>
  <r>
    <x v="16"/>
    <s v="Passenger Terminal"/>
  </r>
  <r>
    <x v="16"/>
    <s v="Vehical Sales/Service"/>
  </r>
  <r>
    <x v="17"/>
    <s v="Dry Waste Treatment Plant"/>
  </r>
  <r>
    <x v="17"/>
    <s v="Hazardous Waste Disposal"/>
  </r>
  <r>
    <x v="17"/>
    <s v="Heating &amp; Cooling Plants"/>
  </r>
  <r>
    <x v="17"/>
    <s v="Waste Water Treatment"/>
  </r>
</pivotCacheRecords>
</file>

<file path=xl/pivotTables/_rels/pivotTable1.xml.rels><?xml version="1.0" encoding="UTF-8" standalone="yes"?>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showHeaders="0" outline="1" outlineData="1" multipleFieldFilters="0">
  <location ref="E2:E19" firstHeaderRow="0" firstDataRow="0" firstDataCol="1"/>
  <pivotFields count="2"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ProjectTypes" displayName="ProjectTypes" ref="B2:C54" totalsRowShown="0">
  <autoFilter ref="B2:C54"/>
  <sortState ref="B3:C54">
    <sortCondition ref="B2:B54"/>
  </sortState>
  <tableColumns count="2">
    <tableColumn id="2" name="Category"/>
    <tableColumn id="1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/Relationships>
</file>

<file path=xl/worksheets/_rels/sheet3.xml.rels><?xml version="1.0" encoding="UTF-8" standalone="yes"?>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/Relationships>
</file>

<file path=xl/worksheets/_rels/sheet4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4" Type="http://schemas.openxmlformats.org/officeDocument/2006/relationships/comments" Target="../comments3.xml"/></Relationships>
</file>

<file path=xl/worksheets/_rels/sheet5.xml.rels><?xml version="1.0" encoding="UTF-8" standalone="yes"?>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/Relationships>
</file>

<file path=xl/worksheets/_rels/sheet6.xml.rels><?xml version="1.0" encoding="UTF-8" standalone="yes"?>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/Relationships>
</file>

<file path=xl/worksheets/_rels/sheet8.xml.rels><?xml version="1.0" encoding="UTF-8" standalone="yes"?>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/Relationships>
</file>

<file path=xl/worksheets/_rels/sheet9.xml.rels><?xml version="1.0" encoding="UTF-8" standalone="yes"?>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7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_rels/sheet10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52.xml.rels><?xml version="1.0" encoding="UTF-8" standalone="yes"?><Relationships xmlns="http://schemas.openxmlformats.org/package/2006/relationships"><Relationship Id="rId1" Type="http://schemas.openxmlformats.org/officeDocument/2006/relationships/comments" Target="../comments52.xml"/><Relationship Id="rId2" Type="http://schemas.openxmlformats.org/officeDocument/2006/relationships/vmlDrawing" Target="../drawings/vmldrawing52.vml"/></Relationships>
</file>

<file path=xl/worksheets/_rels/sheet53.xml.rels><?xml version="1.0" encoding="UTF-8" standalone="yes"?><Relationships xmlns="http://schemas.openxmlformats.org/package/2006/relationships"><Relationship Id="rId1" Type="http://schemas.openxmlformats.org/officeDocument/2006/relationships/comments" Target="../comments53.xml"/><Relationship Id="rId2" Type="http://schemas.openxmlformats.org/officeDocument/2006/relationships/vmlDrawing" Target="../drawings/vmldrawing5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R2" sqref="R2"/>
    </sheetView>
  </sheetViews>
  <sheetFormatPr defaultRowHeight="12.75" x14ac:dyDescent="0.2"/>
  <cols>
    <col min="1" max="1" width="6.7109375" customWidth="1" style="9"/>
    <col min="2" max="2" width="15.7109375" customWidth="1" style="9"/>
    <col min="3" max="3" width="90.7109375" customWidth="1" style="9"/>
    <col min="4" max="14" hidden="1" width="2.7109375" customWidth="1" style="9"/>
    <col min="15" max="15" width="12.7109375" customWidth="1" style="9"/>
    <col min="16" max="17" width="7.7109375" customWidth="1" style="9"/>
    <col min="18" max="18" width="10.7109375" customWidth="1" style="9"/>
    <col min="19" max="19" width="6.7109375" customWidth="1" style="9"/>
    <col min="20" max="20" width="9.5703125" customWidth="1" style="9"/>
    <col min="21" max="21" width="8.85546875" customWidth="1" style="9"/>
    <col min="22" max="22" width="9.5703125" customWidth="1" style="9"/>
    <col min="23" max="23" width="8.5703125" customWidth="1" style="9"/>
    <col min="24" max="25" width="10.7109375" customWidth="1" style="9"/>
    <col min="26" max="26" width="10.5703125" customWidth="1" style="9"/>
    <col min="27" max="27" width="8.7109375" customWidth="1" style="9"/>
    <col min="28" max="28" width="9.7109375" customWidth="1" style="9"/>
    <col min="29" max="29" width="8.5703125" customWidth="1" style="9"/>
    <col min="30" max="16384" width="9.140625" customWidth="1" style="9"/>
  </cols>
  <sheetData>
    <row r="1" ht="20.1" customHeight="1" s="10" customFormat="1">
      <c r="A1" s="244" t="s">
        <v>48</v>
      </c>
      <c r="B1" s="245"/>
      <c r="C1" s="39" t="str">
        <f>IF(ISBLANK(INDIRECT("Cover!D3")),"",INDIRECT("Cover!D3"))</f>
        <v>*</v>
      </c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23" t="s">
        <v>1</v>
      </c>
      <c r="P1" s="251" t="str">
        <f>IF(ISBLANK(INDIRECT("Cover!O2")),"",INDIRECT("Cover!O2"))</f>
        <v>*</v>
      </c>
      <c r="Q1" s="251"/>
      <c r="R1" s="252"/>
      <c r="T1" s="11"/>
      <c r="U1" s="12"/>
      <c r="V1" s="12"/>
      <c r="W1" s="12"/>
      <c r="X1" s="11"/>
      <c r="Y1" s="12"/>
      <c r="Z1" s="12"/>
      <c r="AA1" s="12"/>
      <c r="AB1" s="12"/>
      <c r="AC1" s="13"/>
      <c r="AD1" s="12"/>
      <c r="AE1" s="12"/>
      <c r="AF1" s="12"/>
    </row>
    <row r="2" ht="20.1" customHeight="1" s="10" customFormat="1">
      <c r="A2" s="246" t="s">
        <v>49</v>
      </c>
      <c r="B2" s="247"/>
      <c r="C2" s="79" t="str">
        <f>IF(ISBLANK(INDIRECT("Cover!D4")),"",INDIRECT("Cover!D4"))</f>
        <v>*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</v>
      </c>
      <c r="P2" s="59">
        <v>1</v>
      </c>
      <c r="Q2" s="33" t="s">
        <v>4</v>
      </c>
      <c r="R2" s="34" t="str">
        <f>IF(ISBLANK(INDIRECT("Cover!Q7")),"",INDIRECT("Cover!Q7"))</f>
      </c>
      <c r="S2" s="12"/>
      <c r="T2" s="12"/>
      <c r="U2" s="12"/>
      <c r="V2" s="12"/>
      <c r="W2" s="12"/>
      <c r="X2" s="11"/>
      <c r="Y2" s="12"/>
      <c r="Z2" s="12"/>
      <c r="AA2" s="12"/>
      <c r="AB2" s="12"/>
      <c r="AC2" s="12"/>
      <c r="AD2" s="12"/>
      <c r="AE2" s="12"/>
      <c r="AF2" s="12"/>
    </row>
    <row r="3" ht="20.1" customHeight="1" s="17" customFormat="1">
      <c r="A3" s="248" t="s">
        <v>50</v>
      </c>
      <c r="B3" s="249"/>
      <c r="C3" s="249"/>
      <c r="D3" s="249"/>
      <c r="E3" s="249"/>
      <c r="F3" s="249"/>
      <c r="G3" s="249"/>
      <c r="H3" s="249"/>
      <c r="I3" s="249"/>
      <c r="J3" s="249"/>
      <c r="K3" s="249"/>
      <c r="L3" s="249"/>
      <c r="M3" s="249"/>
      <c r="N3" s="249"/>
      <c r="O3" s="249"/>
      <c r="P3" s="249"/>
      <c r="Q3" s="249"/>
      <c r="R3" s="250"/>
      <c r="S3" s="14"/>
      <c r="T3" s="15"/>
      <c r="U3" s="14"/>
      <c r="V3" s="15"/>
      <c r="W3" s="14"/>
      <c r="X3" s="15"/>
      <c r="Y3" s="14"/>
      <c r="Z3" s="15"/>
      <c r="AA3" s="14"/>
      <c r="AB3" s="15"/>
      <c r="AC3" s="14"/>
      <c r="AD3" s="14"/>
      <c r="AE3" s="14"/>
      <c r="AF3" s="14"/>
    </row>
    <row r="4" ht="20.1" customHeight="1" s="19" customFormat="1">
      <c r="A4" s="125"/>
      <c r="B4" s="242"/>
      <c r="C4" s="242"/>
      <c r="D4" s="242"/>
      <c r="E4" s="242"/>
      <c r="F4" s="242"/>
      <c r="G4" s="242"/>
      <c r="H4" s="242"/>
      <c r="I4" s="242"/>
      <c r="J4" s="242"/>
      <c r="K4" s="242"/>
      <c r="L4" s="242"/>
      <c r="M4" s="242"/>
      <c r="N4" s="242"/>
      <c r="O4" s="242"/>
      <c r="P4" s="242"/>
      <c r="Q4" s="242"/>
      <c r="R4" s="243"/>
      <c r="S4" s="18"/>
    </row>
    <row r="5" ht="20.1" customHeight="1" s="19" customFormat="1">
      <c r="A5" s="125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  <c r="O5" s="242"/>
      <c r="P5" s="242"/>
      <c r="Q5" s="242"/>
      <c r="R5" s="243"/>
      <c r="S5" s="18"/>
    </row>
    <row r="6" ht="20.1" customHeight="1" s="19" customFormat="1">
      <c r="A6" s="125"/>
      <c r="B6" s="242"/>
      <c r="C6" s="242"/>
      <c r="D6" s="242"/>
      <c r="E6" s="242"/>
      <c r="F6" s="242"/>
      <c r="G6" s="242"/>
      <c r="H6" s="242"/>
      <c r="I6" s="242"/>
      <c r="J6" s="242"/>
      <c r="K6" s="242"/>
      <c r="L6" s="242"/>
      <c r="M6" s="242"/>
      <c r="N6" s="242"/>
      <c r="O6" s="242"/>
      <c r="P6" s="242"/>
      <c r="Q6" s="242"/>
      <c r="R6" s="243"/>
      <c r="S6" s="18"/>
    </row>
    <row r="7" ht="20.1" customHeight="1" s="19" customFormat="1">
      <c r="A7" s="125"/>
      <c r="B7" s="242"/>
      <c r="C7" s="242"/>
      <c r="D7" s="242"/>
      <c r="E7" s="242"/>
      <c r="F7" s="242"/>
      <c r="G7" s="242"/>
      <c r="H7" s="242"/>
      <c r="I7" s="242"/>
      <c r="J7" s="242"/>
      <c r="K7" s="242"/>
      <c r="L7" s="242"/>
      <c r="M7" s="242"/>
      <c r="N7" s="242"/>
      <c r="O7" s="242"/>
      <c r="P7" s="242"/>
      <c r="Q7" s="242"/>
      <c r="R7" s="243"/>
      <c r="S7" s="18"/>
    </row>
    <row r="8" ht="20.1" customHeight="1" s="19" customFormat="1">
      <c r="A8" s="125"/>
      <c r="B8" s="242"/>
      <c r="C8" s="242"/>
      <c r="D8" s="242"/>
      <c r="E8" s="242"/>
      <c r="F8" s="242"/>
      <c r="G8" s="242"/>
      <c r="H8" s="242"/>
      <c r="I8" s="242"/>
      <c r="J8" s="242"/>
      <c r="K8" s="242"/>
      <c r="L8" s="242"/>
      <c r="M8" s="242"/>
      <c r="N8" s="242"/>
      <c r="O8" s="242"/>
      <c r="P8" s="242"/>
      <c r="Q8" s="242"/>
      <c r="R8" s="243"/>
      <c r="S8" s="18"/>
    </row>
    <row r="9" ht="20.1" customHeight="1" s="19" customFormat="1">
      <c r="A9" s="125"/>
      <c r="B9" s="242"/>
      <c r="C9" s="242"/>
      <c r="D9" s="242"/>
      <c r="E9" s="242"/>
      <c r="F9" s="242"/>
      <c r="G9" s="242"/>
      <c r="H9" s="242"/>
      <c r="I9" s="242"/>
      <c r="J9" s="242"/>
      <c r="K9" s="242"/>
      <c r="L9" s="242"/>
      <c r="M9" s="242"/>
      <c r="N9" s="242"/>
      <c r="O9" s="242"/>
      <c r="P9" s="242"/>
      <c r="Q9" s="242"/>
      <c r="R9" s="243"/>
      <c r="S9" s="18"/>
    </row>
    <row r="10" ht="20.1" customHeight="1" s="19" customFormat="1">
      <c r="A10" s="125"/>
      <c r="B10" s="242"/>
      <c r="C10" s="242"/>
      <c r="D10" s="242"/>
      <c r="E10" s="242"/>
      <c r="F10" s="242"/>
      <c r="G10" s="242"/>
      <c r="H10" s="242"/>
      <c r="I10" s="242"/>
      <c r="J10" s="242"/>
      <c r="K10" s="242"/>
      <c r="L10" s="242"/>
      <c r="M10" s="242"/>
      <c r="N10" s="242"/>
      <c r="O10" s="242"/>
      <c r="P10" s="242"/>
      <c r="Q10" s="242"/>
      <c r="R10" s="243"/>
      <c r="S10" s="18"/>
    </row>
    <row r="11" ht="20.1" customHeight="1" s="19" customFormat="1">
      <c r="A11" s="125"/>
      <c r="B11" s="242"/>
      <c r="C11" s="242"/>
      <c r="D11" s="242"/>
      <c r="E11" s="242"/>
      <c r="F11" s="242"/>
      <c r="G11" s="242"/>
      <c r="H11" s="242"/>
      <c r="I11" s="242"/>
      <c r="J11" s="242"/>
      <c r="K11" s="242"/>
      <c r="L11" s="242"/>
      <c r="M11" s="242"/>
      <c r="N11" s="242"/>
      <c r="O11" s="242"/>
      <c r="P11" s="242"/>
      <c r="Q11" s="242"/>
      <c r="R11" s="243"/>
      <c r="S11" s="18"/>
    </row>
    <row r="12" ht="20.1" customHeight="1" s="19" customFormat="1">
      <c r="A12" s="125"/>
      <c r="B12" s="242"/>
      <c r="C12" s="242"/>
      <c r="D12" s="242"/>
      <c r="E12" s="242"/>
      <c r="F12" s="242"/>
      <c r="G12" s="242"/>
      <c r="H12" s="242"/>
      <c r="I12" s="242"/>
      <c r="J12" s="242"/>
      <c r="K12" s="242"/>
      <c r="L12" s="242"/>
      <c r="M12" s="242"/>
      <c r="N12" s="242"/>
      <c r="O12" s="242"/>
      <c r="P12" s="242"/>
      <c r="Q12" s="242"/>
      <c r="R12" s="243"/>
      <c r="S12" s="18"/>
    </row>
    <row r="13" ht="20.1" customHeight="1" s="19" customFormat="1">
      <c r="A13" s="125"/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3"/>
      <c r="S13" s="18"/>
    </row>
    <row r="14" ht="20.1" customHeight="1" s="19" customFormat="1">
      <c r="A14" s="125"/>
      <c r="B14" s="242"/>
      <c r="C14" s="242"/>
      <c r="D14" s="242"/>
      <c r="E14" s="242"/>
      <c r="F14" s="242"/>
      <c r="G14" s="242"/>
      <c r="H14" s="242"/>
      <c r="I14" s="242"/>
      <c r="J14" s="242"/>
      <c r="K14" s="242"/>
      <c r="L14" s="242"/>
      <c r="M14" s="242"/>
      <c r="N14" s="242"/>
      <c r="O14" s="242"/>
      <c r="P14" s="242"/>
      <c r="Q14" s="242"/>
      <c r="R14" s="243"/>
      <c r="S14" s="18"/>
    </row>
    <row r="15" ht="20.1" customHeight="1" s="19" customFormat="1">
      <c r="A15" s="125"/>
      <c r="B15" s="242"/>
      <c r="C15" s="242"/>
      <c r="D15" s="242"/>
      <c r="E15" s="242"/>
      <c r="F15" s="242"/>
      <c r="G15" s="242"/>
      <c r="H15" s="242"/>
      <c r="I15" s="242"/>
      <c r="J15" s="242"/>
      <c r="K15" s="242"/>
      <c r="L15" s="242"/>
      <c r="M15" s="242"/>
      <c r="N15" s="242"/>
      <c r="O15" s="242"/>
      <c r="P15" s="242"/>
      <c r="Q15" s="242"/>
      <c r="R15" s="243"/>
      <c r="S15" s="18"/>
    </row>
    <row r="16" ht="20.1" customHeight="1" s="19" customFormat="1">
      <c r="A16" s="125"/>
      <c r="B16" s="242"/>
      <c r="C16" s="242"/>
      <c r="D16" s="242"/>
      <c r="E16" s="242"/>
      <c r="F16" s="242"/>
      <c r="G16" s="242"/>
      <c r="H16" s="242"/>
      <c r="I16" s="242"/>
      <c r="J16" s="242"/>
      <c r="K16" s="242"/>
      <c r="L16" s="242"/>
      <c r="M16" s="242"/>
      <c r="N16" s="242"/>
      <c r="O16" s="242"/>
      <c r="P16" s="242"/>
      <c r="Q16" s="242"/>
      <c r="R16" s="243"/>
      <c r="S16" s="18"/>
    </row>
    <row r="17" ht="20.1" customHeight="1" s="19" customFormat="1">
      <c r="A17" s="125"/>
      <c r="B17" s="242"/>
      <c r="C17" s="242"/>
      <c r="D17" s="242"/>
      <c r="E17" s="242"/>
      <c r="F17" s="242"/>
      <c r="G17" s="242"/>
      <c r="H17" s="242"/>
      <c r="I17" s="242"/>
      <c r="J17" s="242"/>
      <c r="K17" s="242"/>
      <c r="L17" s="242"/>
      <c r="M17" s="242"/>
      <c r="N17" s="242"/>
      <c r="O17" s="242"/>
      <c r="P17" s="242"/>
      <c r="Q17" s="242"/>
      <c r="R17" s="243"/>
      <c r="S17" s="18"/>
    </row>
    <row r="18" ht="20.1" customHeight="1" s="19" customFormat="1">
      <c r="A18" s="125"/>
      <c r="B18" s="242"/>
      <c r="C18" s="242"/>
      <c r="D18" s="242"/>
      <c r="E18" s="242"/>
      <c r="F18" s="242"/>
      <c r="G18" s="242"/>
      <c r="H18" s="242"/>
      <c r="I18" s="242"/>
      <c r="J18" s="242"/>
      <c r="K18" s="242"/>
      <c r="L18" s="242"/>
      <c r="M18" s="242"/>
      <c r="N18" s="242"/>
      <c r="O18" s="242"/>
      <c r="P18" s="242"/>
      <c r="Q18" s="242"/>
      <c r="R18" s="243"/>
      <c r="S18" s="18"/>
    </row>
    <row r="19" ht="20.1" customHeight="1" s="19" customFormat="1">
      <c r="A19" s="125"/>
      <c r="B19" s="242"/>
      <c r="C19" s="242"/>
      <c r="D19" s="242"/>
      <c r="E19" s="242"/>
      <c r="F19" s="242"/>
      <c r="G19" s="242"/>
      <c r="H19" s="242"/>
      <c r="I19" s="242"/>
      <c r="J19" s="242"/>
      <c r="K19" s="242"/>
      <c r="L19" s="242"/>
      <c r="M19" s="242"/>
      <c r="N19" s="242"/>
      <c r="O19" s="242"/>
      <c r="P19" s="242"/>
      <c r="Q19" s="242"/>
      <c r="R19" s="243"/>
      <c r="S19" s="18"/>
    </row>
    <row r="20" ht="20.1" customHeight="1" s="19" customFormat="1">
      <c r="A20" s="125"/>
      <c r="B20" s="242"/>
      <c r="C20" s="242"/>
      <c r="D20" s="242"/>
      <c r="E20" s="242"/>
      <c r="F20" s="242"/>
      <c r="G20" s="242"/>
      <c r="H20" s="242"/>
      <c r="I20" s="242"/>
      <c r="J20" s="242"/>
      <c r="K20" s="242"/>
      <c r="L20" s="242"/>
      <c r="M20" s="242"/>
      <c r="N20" s="242"/>
      <c r="O20" s="242"/>
      <c r="P20" s="242"/>
      <c r="Q20" s="242"/>
      <c r="R20" s="243"/>
      <c r="S20" s="18"/>
    </row>
    <row r="21" ht="20.1" customHeight="1" s="19" customFormat="1">
      <c r="A21" s="125"/>
      <c r="B21" s="242"/>
      <c r="C21" s="242"/>
      <c r="D21" s="242"/>
      <c r="E21" s="242"/>
      <c r="F21" s="242"/>
      <c r="G21" s="242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3"/>
      <c r="S21" s="18"/>
    </row>
    <row r="22" ht="20.1" customHeight="1" s="19" customFormat="1">
      <c r="A22" s="125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  <c r="P22" s="242"/>
      <c r="Q22" s="242"/>
      <c r="R22" s="243"/>
      <c r="S22" s="18"/>
    </row>
    <row r="23" ht="20.1" customHeight="1" s="19" customFormat="1">
      <c r="A23" s="125"/>
      <c r="B23" s="242"/>
      <c r="C23" s="242"/>
      <c r="D23" s="242"/>
      <c r="E23" s="242"/>
      <c r="F23" s="242"/>
      <c r="G23" s="242"/>
      <c r="H23" s="242"/>
      <c r="I23" s="242"/>
      <c r="J23" s="242"/>
      <c r="K23" s="242"/>
      <c r="L23" s="242"/>
      <c r="M23" s="242"/>
      <c r="N23" s="242"/>
      <c r="O23" s="242"/>
      <c r="P23" s="242"/>
      <c r="Q23" s="242"/>
      <c r="R23" s="243"/>
      <c r="S23" s="18"/>
    </row>
    <row r="24" ht="20.1" customHeight="1" s="19" customFormat="1">
      <c r="A24" s="125"/>
      <c r="B24" s="242"/>
      <c r="C24" s="242"/>
      <c r="D24" s="242"/>
      <c r="E24" s="242"/>
      <c r="F24" s="242"/>
      <c r="G24" s="242"/>
      <c r="H24" s="242"/>
      <c r="I24" s="242"/>
      <c r="J24" s="242"/>
      <c r="K24" s="242"/>
      <c r="L24" s="242"/>
      <c r="M24" s="242"/>
      <c r="N24" s="242"/>
      <c r="O24" s="242"/>
      <c r="P24" s="242"/>
      <c r="Q24" s="242"/>
      <c r="R24" s="243"/>
      <c r="S24" s="18"/>
    </row>
    <row r="25" ht="20.1" customHeight="1" s="19" customFormat="1">
      <c r="A25" s="125"/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3"/>
      <c r="S25" s="18"/>
    </row>
    <row r="26" ht="20.1" customHeight="1" s="19" customFormat="1">
      <c r="A26" s="125"/>
      <c r="B26" s="242"/>
      <c r="C26" s="242"/>
      <c r="D26" s="242"/>
      <c r="E26" s="242"/>
      <c r="F26" s="242"/>
      <c r="G26" s="242"/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3"/>
      <c r="S26" s="18"/>
    </row>
    <row r="27" ht="20.1" customHeight="1" s="19" customFormat="1">
      <c r="A27" s="125"/>
      <c r="B27" s="242"/>
      <c r="C27" s="242"/>
      <c r="D27" s="242"/>
      <c r="E27" s="242"/>
      <c r="F27" s="242"/>
      <c r="G27" s="242"/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3"/>
      <c r="S27" s="18"/>
    </row>
    <row r="28" ht="20.1" customHeight="1" s="19" customFormat="1">
      <c r="A28" s="125"/>
      <c r="B28" s="242"/>
      <c r="C28" s="242"/>
      <c r="D28" s="242"/>
      <c r="E28" s="242"/>
      <c r="F28" s="242"/>
      <c r="G28" s="242"/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3"/>
      <c r="S28" s="18"/>
    </row>
    <row r="29" ht="20.1" customHeight="1" s="19" customFormat="1">
      <c r="A29" s="125"/>
      <c r="B29" s="242"/>
      <c r="C29" s="24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3"/>
      <c r="S29" s="18"/>
    </row>
    <row r="30" ht="20.1" customHeight="1" s="19" customFormat="1">
      <c r="A30" s="125"/>
      <c r="B30" s="242"/>
      <c r="C30" s="24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3"/>
      <c r="S30" s="18"/>
    </row>
    <row r="31" ht="20.1" customHeight="1" s="19" customFormat="1">
      <c r="A31" s="125"/>
      <c r="B31" s="242"/>
      <c r="C31" s="242"/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3"/>
      <c r="S31" s="18"/>
    </row>
    <row r="32" ht="20.1" customHeight="1" s="19" customFormat="1">
      <c r="A32" s="125"/>
      <c r="B32" s="242"/>
      <c r="C32" s="242"/>
      <c r="D32" s="242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3"/>
      <c r="S32" s="18"/>
    </row>
    <row r="33" ht="20.1" customHeight="1" s="19" customFormat="1">
      <c r="A33" s="125"/>
      <c r="B33" s="242"/>
      <c r="C33" s="242"/>
      <c r="D33" s="242"/>
      <c r="E33" s="242"/>
      <c r="F33" s="242"/>
      <c r="G33" s="242"/>
      <c r="H33" s="242"/>
      <c r="I33" s="242"/>
      <c r="J33" s="242"/>
      <c r="K33" s="242"/>
      <c r="L33" s="242"/>
      <c r="M33" s="242"/>
      <c r="N33" s="242"/>
      <c r="O33" s="242"/>
      <c r="P33" s="242"/>
      <c r="Q33" s="242"/>
      <c r="R33" s="243"/>
      <c r="S33" s="18"/>
    </row>
    <row r="34" ht="20.1" customHeight="1" s="19" customFormat="1">
      <c r="A34" s="125"/>
      <c r="B34" s="242"/>
      <c r="C34" s="242"/>
      <c r="D34" s="242"/>
      <c r="E34" s="242"/>
      <c r="F34" s="242"/>
      <c r="G34" s="242"/>
      <c r="H34" s="242"/>
      <c r="I34" s="242"/>
      <c r="J34" s="242"/>
      <c r="K34" s="242"/>
      <c r="L34" s="242"/>
      <c r="M34" s="242"/>
      <c r="N34" s="242"/>
      <c r="O34" s="242"/>
      <c r="P34" s="242"/>
      <c r="Q34" s="242"/>
      <c r="R34" s="243"/>
      <c r="S34" s="18"/>
    </row>
    <row r="35" ht="20.1" customHeight="1" s="19" customFormat="1">
      <c r="A35" s="125"/>
      <c r="B35" s="242"/>
      <c r="C35" s="242"/>
      <c r="D35" s="242"/>
      <c r="E35" s="242"/>
      <c r="F35" s="242"/>
      <c r="G35" s="242"/>
      <c r="H35" s="242"/>
      <c r="I35" s="242"/>
      <c r="J35" s="242"/>
      <c r="K35" s="242"/>
      <c r="L35" s="242"/>
      <c r="M35" s="242"/>
      <c r="N35" s="242"/>
      <c r="O35" s="242"/>
      <c r="P35" s="242"/>
      <c r="Q35" s="242"/>
      <c r="R35" s="243"/>
      <c r="S35" s="18"/>
    </row>
    <row r="36" ht="20.1" customHeight="1" s="19" customFormat="1">
      <c r="A36" s="125"/>
      <c r="B36" s="242"/>
      <c r="C36" s="242"/>
      <c r="D36" s="242"/>
      <c r="E36" s="242"/>
      <c r="F36" s="242"/>
      <c r="G36" s="242"/>
      <c r="H36" s="242"/>
      <c r="I36" s="242"/>
      <c r="J36" s="242"/>
      <c r="K36" s="242"/>
      <c r="L36" s="242"/>
      <c r="M36" s="242"/>
      <c r="N36" s="242"/>
      <c r="O36" s="242"/>
      <c r="P36" s="242"/>
      <c r="Q36" s="242"/>
      <c r="R36" s="243"/>
      <c r="S36" s="18"/>
    </row>
    <row r="37" ht="20.1" customHeight="1" s="19" customFormat="1">
      <c r="A37" s="125"/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3"/>
      <c r="S37" s="18"/>
    </row>
    <row r="38" ht="20.1" customHeight="1" s="19" customFormat="1">
      <c r="A38" s="125"/>
      <c r="B38" s="242"/>
      <c r="C38" s="242"/>
      <c r="D38" s="242"/>
      <c r="E38" s="242"/>
      <c r="F38" s="242"/>
      <c r="G38" s="242"/>
      <c r="H38" s="242"/>
      <c r="I38" s="242"/>
      <c r="J38" s="242"/>
      <c r="K38" s="242"/>
      <c r="L38" s="242"/>
      <c r="M38" s="242"/>
      <c r="N38" s="242"/>
      <c r="O38" s="242"/>
      <c r="P38" s="242"/>
      <c r="Q38" s="242"/>
      <c r="R38" s="243"/>
      <c r="S38" s="18"/>
    </row>
    <row r="39" ht="20.1" customHeight="1" s="19" customFormat="1">
      <c r="A39" s="125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  <c r="P39" s="242"/>
      <c r="Q39" s="242"/>
      <c r="R39" s="243"/>
      <c r="S39" s="18"/>
    </row>
    <row r="40" ht="20.1" customHeight="1" s="19" customFormat="1">
      <c r="A40" s="125"/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2"/>
      <c r="P40" s="242"/>
      <c r="Q40" s="242"/>
      <c r="R40" s="243"/>
      <c r="S40" s="18"/>
    </row>
    <row r="41" ht="20.1" customHeight="1" s="19" customFormat="1">
      <c r="A41" s="125"/>
      <c r="B41" s="242"/>
      <c r="C41" s="242"/>
      <c r="D41" s="242"/>
      <c r="E41" s="242"/>
      <c r="F41" s="242"/>
      <c r="G41" s="242"/>
      <c r="H41" s="242"/>
      <c r="I41" s="242"/>
      <c r="J41" s="242"/>
      <c r="K41" s="242"/>
      <c r="L41" s="242"/>
      <c r="M41" s="242"/>
      <c r="N41" s="242"/>
      <c r="O41" s="242"/>
      <c r="P41" s="242"/>
      <c r="Q41" s="242"/>
      <c r="R41" s="243"/>
      <c r="S41" s="18"/>
    </row>
    <row r="42" ht="20.1" customHeight="1" s="19" customFormat="1">
      <c r="A42" s="125"/>
      <c r="B42" s="242"/>
      <c r="C42" s="242"/>
      <c r="D42" s="242"/>
      <c r="E42" s="242"/>
      <c r="F42" s="242"/>
      <c r="G42" s="242"/>
      <c r="H42" s="242"/>
      <c r="I42" s="242"/>
      <c r="J42" s="242"/>
      <c r="K42" s="242"/>
      <c r="L42" s="242"/>
      <c r="M42" s="242"/>
      <c r="N42" s="242"/>
      <c r="O42" s="242"/>
      <c r="P42" s="242"/>
      <c r="Q42" s="242"/>
      <c r="R42" s="243"/>
      <c r="S42" s="18"/>
    </row>
    <row r="43" ht="20.1" customHeight="1" s="19" customFormat="1">
      <c r="A43" s="125"/>
      <c r="B43" s="242"/>
      <c r="C43" s="242"/>
      <c r="D43" s="242"/>
      <c r="E43" s="242"/>
      <c r="F43" s="242"/>
      <c r="G43" s="242"/>
      <c r="H43" s="242"/>
      <c r="I43" s="242"/>
      <c r="J43" s="242"/>
      <c r="K43" s="242"/>
      <c r="L43" s="242"/>
      <c r="M43" s="242"/>
      <c r="N43" s="242"/>
      <c r="O43" s="242"/>
      <c r="P43" s="242"/>
      <c r="Q43" s="242"/>
      <c r="R43" s="243"/>
      <c r="S43" s="18"/>
    </row>
    <row r="44" ht="20.1" customHeight="1" s="19" customFormat="1">
      <c r="A44" s="125"/>
      <c r="B44" s="242"/>
      <c r="C44" s="242"/>
      <c r="D44" s="242"/>
      <c r="E44" s="242"/>
      <c r="F44" s="242"/>
      <c r="G44" s="242"/>
      <c r="H44" s="242"/>
      <c r="I44" s="242"/>
      <c r="J44" s="242"/>
      <c r="K44" s="242"/>
      <c r="L44" s="242"/>
      <c r="M44" s="242"/>
      <c r="N44" s="242"/>
      <c r="O44" s="242"/>
      <c r="P44" s="242"/>
      <c r="Q44" s="242"/>
      <c r="R44" s="243"/>
      <c r="S44" s="18"/>
    </row>
    <row r="45" ht="20.1" customHeight="1" s="19" customFormat="1">
      <c r="A45" s="125"/>
      <c r="B45" s="242"/>
      <c r="C45" s="242"/>
      <c r="D45" s="242"/>
      <c r="E45" s="242"/>
      <c r="F45" s="242"/>
      <c r="G45" s="242"/>
      <c r="H45" s="242"/>
      <c r="I45" s="242"/>
      <c r="J45" s="242"/>
      <c r="K45" s="242"/>
      <c r="L45" s="242"/>
      <c r="M45" s="242"/>
      <c r="N45" s="242"/>
      <c r="O45" s="242"/>
      <c r="P45" s="242"/>
      <c r="Q45" s="242"/>
      <c r="R45" s="243"/>
      <c r="S45" s="18"/>
    </row>
    <row r="46" ht="20.1" customHeight="1" s="19" customFormat="1">
      <c r="A46" s="125"/>
      <c r="B46" s="242"/>
      <c r="C46" s="242"/>
      <c r="D46" s="242"/>
      <c r="E46" s="242"/>
      <c r="F46" s="242"/>
      <c r="G46" s="242"/>
      <c r="H46" s="242"/>
      <c r="I46" s="242"/>
      <c r="J46" s="242"/>
      <c r="K46" s="242"/>
      <c r="L46" s="242"/>
      <c r="M46" s="242"/>
      <c r="N46" s="242"/>
      <c r="O46" s="242"/>
      <c r="P46" s="242"/>
      <c r="Q46" s="242"/>
      <c r="R46" s="243"/>
      <c r="S46" s="18"/>
    </row>
    <row r="47" ht="20.1" customHeight="1" s="19" customFormat="1">
      <c r="A47" s="125"/>
      <c r="B47" s="242"/>
      <c r="C47" s="242"/>
      <c r="D47" s="242"/>
      <c r="E47" s="242"/>
      <c r="F47" s="242"/>
      <c r="G47" s="242"/>
      <c r="H47" s="242"/>
      <c r="I47" s="242"/>
      <c r="J47" s="242"/>
      <c r="K47" s="242"/>
      <c r="L47" s="242"/>
      <c r="M47" s="242"/>
      <c r="N47" s="242"/>
      <c r="O47" s="242"/>
      <c r="P47" s="242"/>
      <c r="Q47" s="242"/>
      <c r="R47" s="243"/>
      <c r="S47" s="18"/>
    </row>
    <row r="48" ht="20.1" customHeight="1" s="19" customFormat="1">
      <c r="A48" s="125"/>
      <c r="B48" s="242"/>
      <c r="C48" s="242"/>
      <c r="D48" s="242"/>
      <c r="E48" s="242"/>
      <c r="F48" s="242"/>
      <c r="G48" s="242"/>
      <c r="H48" s="242"/>
      <c r="I48" s="242"/>
      <c r="J48" s="242"/>
      <c r="K48" s="242"/>
      <c r="L48" s="242"/>
      <c r="M48" s="242"/>
      <c r="N48" s="242"/>
      <c r="O48" s="242"/>
      <c r="P48" s="242"/>
      <c r="Q48" s="242"/>
      <c r="R48" s="243"/>
      <c r="S48" s="18"/>
    </row>
    <row r="49" ht="20.1" customHeight="1" s="19" customFormat="1">
      <c r="A49" s="125"/>
      <c r="B49" s="242"/>
      <c r="C49" s="242"/>
      <c r="D49" s="242"/>
      <c r="E49" s="242"/>
      <c r="F49" s="242"/>
      <c r="G49" s="242"/>
      <c r="H49" s="242"/>
      <c r="I49" s="242"/>
      <c r="J49" s="242"/>
      <c r="K49" s="242"/>
      <c r="L49" s="242"/>
      <c r="M49" s="242"/>
      <c r="N49" s="242"/>
      <c r="O49" s="242"/>
      <c r="P49" s="242"/>
      <c r="Q49" s="242"/>
      <c r="R49" s="243"/>
      <c r="S49" s="18"/>
    </row>
    <row r="50" ht="20.1" customHeight="1" s="19" customFormat="1">
      <c r="A50" s="125"/>
      <c r="B50" s="242"/>
      <c r="C50" s="242"/>
      <c r="D50" s="242"/>
      <c r="E50" s="242"/>
      <c r="F50" s="242"/>
      <c r="G50" s="242"/>
      <c r="H50" s="242"/>
      <c r="I50" s="242"/>
      <c r="J50" s="242"/>
      <c r="K50" s="242"/>
      <c r="L50" s="242"/>
      <c r="M50" s="242"/>
      <c r="N50" s="242"/>
      <c r="O50" s="242"/>
      <c r="P50" s="242"/>
      <c r="Q50" s="242"/>
      <c r="R50" s="243"/>
      <c r="S50" s="18"/>
    </row>
    <row r="51" ht="20.1" customHeight="1" s="19" customFormat="1">
      <c r="A51" s="125"/>
      <c r="B51" s="242"/>
      <c r="C51" s="242"/>
      <c r="D51" s="242"/>
      <c r="E51" s="242"/>
      <c r="F51" s="242"/>
      <c r="G51" s="242"/>
      <c r="H51" s="242"/>
      <c r="I51" s="242"/>
      <c r="J51" s="242"/>
      <c r="K51" s="242"/>
      <c r="L51" s="242"/>
      <c r="M51" s="242"/>
      <c r="N51" s="242"/>
      <c r="O51" s="242"/>
      <c r="P51" s="242"/>
      <c r="Q51" s="242"/>
      <c r="R51" s="243"/>
      <c r="S51" s="18"/>
    </row>
    <row r="52" ht="20.1" customHeight="1" s="19" customFormat="1">
      <c r="A52" s="125"/>
      <c r="B52" s="242"/>
      <c r="C52" s="242"/>
      <c r="D52" s="242"/>
      <c r="E52" s="242"/>
      <c r="F52" s="242"/>
      <c r="G52" s="242"/>
      <c r="H52" s="242"/>
      <c r="I52" s="242"/>
      <c r="J52" s="242"/>
      <c r="K52" s="242"/>
      <c r="L52" s="242"/>
      <c r="M52" s="242"/>
      <c r="N52" s="242"/>
      <c r="O52" s="242"/>
      <c r="P52" s="242"/>
      <c r="Q52" s="242"/>
      <c r="R52" s="243"/>
      <c r="S52" s="18"/>
    </row>
    <row r="53" ht="20.1" customHeight="1" s="19" customFormat="1">
      <c r="A53" s="125"/>
      <c r="B53" s="242"/>
      <c r="C53" s="242"/>
      <c r="D53" s="242"/>
      <c r="E53" s="242"/>
      <c r="F53" s="242"/>
      <c r="G53" s="242"/>
      <c r="H53" s="242"/>
      <c r="I53" s="242"/>
      <c r="J53" s="242"/>
      <c r="K53" s="242"/>
      <c r="L53" s="242"/>
      <c r="M53" s="242"/>
      <c r="N53" s="242"/>
      <c r="O53" s="242"/>
      <c r="P53" s="242"/>
      <c r="Q53" s="242"/>
      <c r="R53" s="243"/>
      <c r="S53" s="18"/>
    </row>
    <row r="54" ht="17.45" customHeight="1" s="19" customFormat="1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8"/>
    </row>
    <row r="55" ht="17.45" customHeight="1" s="19" customForma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</row>
    <row r="56" ht="15" s="19" customFormat="1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</row>
    <row r="57" ht="15" s="19" customFormat="1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</row>
    <row r="58" ht="15" s="19" customFormat="1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</row>
    <row r="59" ht="15" s="19" customFormat="1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</row>
  </sheetData>
  <mergeCells>
    <mergeCell ref="B6:R6"/>
    <mergeCell ref="B7:R7"/>
    <mergeCell ref="A1:B1"/>
    <mergeCell ref="A2:B2"/>
    <mergeCell ref="B4:R4"/>
    <mergeCell ref="B5:R5"/>
    <mergeCell ref="A3:R3"/>
    <mergeCell ref="P1:R1"/>
    <mergeCell ref="B34:R34"/>
    <mergeCell ref="B35:R35"/>
    <mergeCell ref="B30:R30"/>
    <mergeCell ref="B31:R31"/>
    <mergeCell ref="B32:R32"/>
    <mergeCell ref="B33:R33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8:R8"/>
    <mergeCell ref="B9:R9"/>
    <mergeCell ref="B10:R10"/>
    <mergeCell ref="B11:R11"/>
    <mergeCell ref="B12:R12"/>
    <mergeCell ref="B29:R29"/>
    <mergeCell ref="B20:R20"/>
    <mergeCell ref="B21:R21"/>
    <mergeCell ref="B22:R22"/>
    <mergeCell ref="B23:R23"/>
    <mergeCell ref="B26:R26"/>
    <mergeCell ref="B27:R27"/>
    <mergeCell ref="B28:R28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52:R52"/>
    <mergeCell ref="B53:R53"/>
    <mergeCell ref="B48:R48"/>
    <mergeCell ref="B49:R49"/>
    <mergeCell ref="B50:R50"/>
    <mergeCell ref="B51:R5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customWidth="1" style="9"/>
    <col min="2" max="2" width="8.7109375" customWidth="1" style="9"/>
    <col min="3" max="3" width="22.7109375" customWidth="1" style="9"/>
    <col min="4" max="4" width="6.7109375" customWidth="1" style="9"/>
    <col min="5" max="5" width="7.7109375" customWidth="1" style="9"/>
    <col min="6" max="6" width="6.28515625" customWidth="1" style="9"/>
    <col min="7" max="7" width="5.7109375" customWidth="1" style="9"/>
    <col min="8" max="8" width="7.7109375" customWidth="1" style="9"/>
    <col min="9" max="9" width="6.28515625" customWidth="1" style="9"/>
    <col min="10" max="10" width="5.7109375" customWidth="1" style="9"/>
    <col min="11" max="15" width="7.7109375" customWidth="1" style="9"/>
    <col min="16" max="18" width="6.7109375" customWidth="1" style="9"/>
    <col min="19" max="19" width="10.7109375" customWidth="1" style="9"/>
    <col min="20" max="20" width="6.7109375" customWidth="1" style="9"/>
    <col min="21" max="21" width="7.7109375" customWidth="1" style="9"/>
    <col min="22" max="22" width="10.7109375" customWidth="1" style="9"/>
    <col min="23" max="23" width="6.7109375" customWidth="1" style="9"/>
    <col min="24" max="24" width="7.7109375" customWidth="1" style="9"/>
    <col min="25" max="25" bestFit="1" width="7.5703125" customWidth="1" style="9"/>
    <col min="26" max="27" width="7.7109375" customWidth="1" style="9"/>
    <col min="28" max="28" width="6.7109375" customWidth="1" style="9"/>
    <col min="29" max="29" width="7.7109375" customWidth="1" style="9"/>
    <col min="30" max="16384" width="9.140625" customWidth="1" style="9"/>
  </cols>
  <sheetData>
    <row r="1" ht="20.1" customHeight="1" s="10" customFormat="1">
      <c r="A1" s="244" t="s">
        <v>0</v>
      </c>
      <c r="B1" s="245"/>
      <c r="C1" s="274" t="str">
        <f>IF(ISBLANK(Cover!D3),"",Cover!D3)</f>
        <v>*</v>
      </c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4"/>
      <c r="U1" s="274"/>
      <c r="V1" s="274"/>
      <c r="W1" s="274"/>
      <c r="X1" s="274"/>
      <c r="Y1" s="274"/>
      <c r="Z1" s="23" t="s">
        <v>22</v>
      </c>
      <c r="AA1" s="256" t="str">
        <f>IF(ISBLANK(Cover!O2),"",Cover!O2)</f>
        <v>*</v>
      </c>
      <c r="AB1" s="256"/>
      <c r="AC1" s="257"/>
    </row>
    <row r="2" ht="20.1" customHeight="1" s="10" customFormat="1">
      <c r="A2" s="246" t="s">
        <v>2</v>
      </c>
      <c r="B2" s="247"/>
      <c r="C2" s="281" t="str">
        <f>IF(ISBLANK(Cover!D4),"",Cover!D4)</f>
        <v>*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2" t="s">
        <v>3</v>
      </c>
      <c r="AA2" s="59"/>
      <c r="AB2" s="33" t="s">
        <v>4</v>
      </c>
      <c r="AC2" s="165" t="str">
        <f>IF(ISBLANK(Cover!Q7),"",Cover!Q7)</f>
      </c>
    </row>
    <row r="3" ht="20.1" customHeight="1" s="10" customFormat="1">
      <c r="A3" s="279" t="s">
        <v>23</v>
      </c>
      <c r="B3" s="279" t="s">
        <v>24</v>
      </c>
      <c r="C3" s="279" t="s">
        <v>25</v>
      </c>
      <c r="D3" s="266" t="s">
        <v>26</v>
      </c>
      <c r="E3" s="267"/>
      <c r="F3" s="264" t="s">
        <v>27</v>
      </c>
      <c r="G3" s="265"/>
      <c r="H3" s="265"/>
      <c r="I3" s="264" t="s">
        <v>28</v>
      </c>
      <c r="J3" s="265"/>
      <c r="K3" s="265"/>
      <c r="L3" s="264" t="s">
        <v>29</v>
      </c>
      <c r="M3" s="275"/>
      <c r="N3" s="24" t="s">
        <v>30</v>
      </c>
      <c r="O3" s="24" t="s">
        <v>31</v>
      </c>
      <c r="P3" s="278" t="s">
        <v>32</v>
      </c>
      <c r="Q3" s="265"/>
      <c r="R3" s="275"/>
      <c r="S3" s="264" t="s">
        <v>33</v>
      </c>
      <c r="T3" s="265"/>
      <c r="U3" s="265"/>
      <c r="V3" s="264" t="s">
        <v>34</v>
      </c>
      <c r="W3" s="265"/>
      <c r="X3" s="275"/>
      <c r="Y3" s="272" t="s">
        <v>35</v>
      </c>
      <c r="Z3" s="258" t="s">
        <v>36</v>
      </c>
      <c r="AA3" s="259"/>
      <c r="AB3" s="259"/>
      <c r="AC3" s="260"/>
    </row>
    <row r="4" ht="20.1" customHeight="1" s="10" customFormat="1">
      <c r="A4" s="280"/>
      <c r="B4" s="280"/>
      <c r="C4" s="280"/>
      <c r="D4" s="268"/>
      <c r="E4" s="269"/>
      <c r="F4" s="61" t="s">
        <v>37</v>
      </c>
      <c r="G4" s="270" t="s">
        <v>9</v>
      </c>
      <c r="H4" s="271"/>
      <c r="I4" s="61" t="s">
        <v>37</v>
      </c>
      <c r="J4" s="270" t="s">
        <v>9</v>
      </c>
      <c r="K4" s="271"/>
      <c r="L4" s="61" t="s">
        <v>38</v>
      </c>
      <c r="M4" s="62" t="s">
        <v>39</v>
      </c>
      <c r="N4" s="60" t="s">
        <v>40</v>
      </c>
      <c r="O4" s="169" t="s">
        <v>41</v>
      </c>
      <c r="P4" s="158" t="s">
        <v>7</v>
      </c>
      <c r="Q4" s="175" t="s">
        <v>42</v>
      </c>
      <c r="R4" s="155" t="s">
        <v>43</v>
      </c>
      <c r="S4" s="61" t="s">
        <v>44</v>
      </c>
      <c r="T4" s="270" t="s">
        <v>45</v>
      </c>
      <c r="U4" s="271"/>
      <c r="V4" s="61" t="s">
        <v>44</v>
      </c>
      <c r="W4" s="270" t="s">
        <v>45</v>
      </c>
      <c r="X4" s="271"/>
      <c r="Y4" s="273"/>
      <c r="Z4" s="261"/>
      <c r="AA4" s="262"/>
      <c r="AB4" s="262"/>
      <c r="AC4" s="263"/>
    </row>
    <row r="5" ht="20.1" customHeight="1" s="10" customFormat="1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171"/>
      <c r="P5" s="177"/>
      <c r="Q5" s="176" t="s">
        <v>46</v>
      </c>
      <c r="R5" s="156"/>
      <c r="S5" s="166"/>
      <c r="T5" s="159"/>
      <c r="U5" s="160"/>
      <c r="V5" s="166"/>
      <c r="W5" s="159"/>
      <c r="X5" s="160"/>
      <c r="Y5" s="162"/>
      <c r="Z5" s="290"/>
      <c r="AA5" s="291"/>
      <c r="AB5" s="291"/>
      <c r="AC5" s="292"/>
    </row>
    <row r="6" ht="20.1" customHeight="1" s="10" customFormat="1">
      <c r="A6" s="63"/>
      <c r="B6" s="64"/>
      <c r="C6" s="63"/>
      <c r="D6" s="65"/>
      <c r="E6" s="66"/>
      <c r="F6" s="67"/>
      <c r="G6" s="42"/>
      <c r="H6" s="68"/>
      <c r="I6" s="67"/>
      <c r="J6" s="42"/>
      <c r="K6" s="68"/>
      <c r="L6" s="69"/>
      <c r="M6" s="70"/>
      <c r="N6" s="71"/>
      <c r="O6" s="172"/>
      <c r="P6" s="178"/>
      <c r="Q6" s="170"/>
      <c r="R6" s="157"/>
      <c r="S6" s="167"/>
      <c r="T6" s="42"/>
      <c r="U6" s="68"/>
      <c r="V6" s="167"/>
      <c r="W6" s="42"/>
      <c r="X6" s="68"/>
      <c r="Y6" s="161"/>
      <c r="Z6" s="253"/>
      <c r="AA6" s="254"/>
      <c r="AB6" s="254"/>
      <c r="AC6" s="255"/>
    </row>
    <row r="7" ht="20.1" customHeight="1" s="19" customFormat="1">
      <c r="A7" s="63"/>
      <c r="B7" s="64"/>
      <c r="C7" s="63"/>
      <c r="D7" s="65"/>
      <c r="E7" s="66"/>
      <c r="F7" s="67"/>
      <c r="G7" s="42"/>
      <c r="H7" s="68"/>
      <c r="I7" s="67"/>
      <c r="J7" s="42"/>
      <c r="K7" s="68"/>
      <c r="L7" s="69"/>
      <c r="M7" s="70"/>
      <c r="N7" s="71"/>
      <c r="O7" s="172"/>
      <c r="P7" s="178"/>
      <c r="Q7" s="170"/>
      <c r="R7" s="157"/>
      <c r="S7" s="167"/>
      <c r="T7" s="42"/>
      <c r="U7" s="68"/>
      <c r="V7" s="167"/>
      <c r="W7" s="42"/>
      <c r="X7" s="68"/>
      <c r="Y7" s="161"/>
      <c r="Z7" s="253"/>
      <c r="AA7" s="254"/>
      <c r="AB7" s="254"/>
      <c r="AC7" s="255"/>
    </row>
    <row r="8" ht="20.1" customHeight="1" s="19" customFormat="1">
      <c r="A8" s="63"/>
      <c r="B8" s="64"/>
      <c r="C8" s="63"/>
      <c r="D8" s="65"/>
      <c r="E8" s="66"/>
      <c r="F8" s="67"/>
      <c r="G8" s="42"/>
      <c r="H8" s="68"/>
      <c r="I8" s="67"/>
      <c r="J8" s="42"/>
      <c r="K8" s="68"/>
      <c r="L8" s="69"/>
      <c r="M8" s="70"/>
      <c r="N8" s="71"/>
      <c r="O8" s="172"/>
      <c r="P8" s="178"/>
      <c r="Q8" s="170"/>
      <c r="R8" s="157"/>
      <c r="S8" s="167"/>
      <c r="T8" s="42"/>
      <c r="U8" s="68"/>
      <c r="V8" s="167"/>
      <c r="W8" s="42"/>
      <c r="X8" s="68"/>
      <c r="Y8" s="161"/>
      <c r="Z8" s="253"/>
      <c r="AA8" s="254"/>
      <c r="AB8" s="254"/>
      <c r="AC8" s="255"/>
    </row>
    <row r="9" ht="20.1" customHeight="1" s="19" customFormat="1">
      <c r="A9" s="63"/>
      <c r="B9" s="64"/>
      <c r="C9" s="63"/>
      <c r="D9" s="65"/>
      <c r="E9" s="66"/>
      <c r="F9" s="67"/>
      <c r="G9" s="42"/>
      <c r="H9" s="68"/>
      <c r="I9" s="67"/>
      <c r="J9" s="42"/>
      <c r="K9" s="68"/>
      <c r="L9" s="69"/>
      <c r="M9" s="70"/>
      <c r="N9" s="71"/>
      <c r="O9" s="172"/>
      <c r="P9" s="178"/>
      <c r="Q9" s="170"/>
      <c r="R9" s="157"/>
      <c r="S9" s="167"/>
      <c r="T9" s="42"/>
      <c r="U9" s="68"/>
      <c r="V9" s="167"/>
      <c r="W9" s="42"/>
      <c r="X9" s="68"/>
      <c r="Y9" s="161"/>
      <c r="Z9" s="253"/>
      <c r="AA9" s="254"/>
      <c r="AB9" s="254"/>
      <c r="AC9" s="255"/>
    </row>
    <row r="10" ht="19.5" customHeight="1" s="19" customFormat="1">
      <c r="A10" s="63"/>
      <c r="B10" s="64"/>
      <c r="C10" s="63"/>
      <c r="D10" s="65"/>
      <c r="E10" s="66"/>
      <c r="F10" s="67"/>
      <c r="G10" s="42"/>
      <c r="H10" s="68"/>
      <c r="I10" s="67"/>
      <c r="J10" s="42"/>
      <c r="K10" s="68"/>
      <c r="L10" s="69"/>
      <c r="M10" s="70"/>
      <c r="N10" s="71"/>
      <c r="O10" s="172"/>
      <c r="P10" s="178"/>
      <c r="Q10" s="170"/>
      <c r="R10" s="157"/>
      <c r="S10" s="167"/>
      <c r="T10" s="42"/>
      <c r="U10" s="68"/>
      <c r="V10" s="167"/>
      <c r="W10" s="42"/>
      <c r="X10" s="68"/>
      <c r="Y10" s="161"/>
      <c r="Z10" s="253"/>
      <c r="AA10" s="254"/>
      <c r="AB10" s="254"/>
      <c r="AC10" s="255"/>
    </row>
    <row r="11" ht="20.1" customHeight="1" s="19" customFormat="1">
      <c r="A11" s="63"/>
      <c r="B11" s="64"/>
      <c r="C11" s="63"/>
      <c r="D11" s="65"/>
      <c r="E11" s="66"/>
      <c r="F11" s="67"/>
      <c r="G11" s="42"/>
      <c r="H11" s="68"/>
      <c r="I11" s="67"/>
      <c r="J11" s="42"/>
      <c r="K11" s="68"/>
      <c r="L11" s="69"/>
      <c r="M11" s="70"/>
      <c r="N11" s="71"/>
      <c r="O11" s="172"/>
      <c r="P11" s="178"/>
      <c r="Q11" s="170"/>
      <c r="R11" s="157"/>
      <c r="S11" s="167"/>
      <c r="T11" s="42"/>
      <c r="U11" s="68"/>
      <c r="V11" s="167"/>
      <c r="W11" s="42"/>
      <c r="X11" s="68"/>
      <c r="Y11" s="161"/>
      <c r="Z11" s="253"/>
      <c r="AA11" s="254"/>
      <c r="AB11" s="254"/>
      <c r="AC11" s="255"/>
    </row>
    <row r="12" ht="20.1" customHeight="1" s="19" customFormat="1">
      <c r="A12" s="63"/>
      <c r="B12" s="64"/>
      <c r="C12" s="63"/>
      <c r="D12" s="65"/>
      <c r="E12" s="66"/>
      <c r="F12" s="67"/>
      <c r="G12" s="42"/>
      <c r="H12" s="68"/>
      <c r="I12" s="67"/>
      <c r="J12" s="42"/>
      <c r="K12" s="68"/>
      <c r="L12" s="69"/>
      <c r="M12" s="70"/>
      <c r="N12" s="71"/>
      <c r="O12" s="172"/>
      <c r="P12" s="178"/>
      <c r="Q12" s="170"/>
      <c r="R12" s="157"/>
      <c r="S12" s="167"/>
      <c r="T12" s="42"/>
      <c r="U12" s="68"/>
      <c r="V12" s="167"/>
      <c r="W12" s="42"/>
      <c r="X12" s="68"/>
      <c r="Y12" s="161"/>
      <c r="Z12" s="253"/>
      <c r="AA12" s="254"/>
      <c r="AB12" s="254"/>
      <c r="AC12" s="255"/>
    </row>
    <row r="13" ht="20.1" customHeight="1" s="19" customFormat="1">
      <c r="A13" s="63"/>
      <c r="B13" s="64"/>
      <c r="C13" s="63"/>
      <c r="D13" s="65"/>
      <c r="E13" s="66"/>
      <c r="F13" s="67"/>
      <c r="G13" s="42"/>
      <c r="H13" s="68"/>
      <c r="I13" s="67"/>
      <c r="J13" s="42"/>
      <c r="K13" s="68"/>
      <c r="L13" s="69"/>
      <c r="M13" s="70"/>
      <c r="N13" s="71"/>
      <c r="O13" s="173"/>
      <c r="P13" s="178"/>
      <c r="Q13" s="170"/>
      <c r="R13" s="157"/>
      <c r="S13" s="167"/>
      <c r="T13" s="42"/>
      <c r="U13" s="68"/>
      <c r="V13" s="167"/>
      <c r="W13" s="42"/>
      <c r="X13" s="68"/>
      <c r="Y13" s="161"/>
      <c r="Z13" s="253"/>
      <c r="AA13" s="254"/>
      <c r="AB13" s="254"/>
      <c r="AC13" s="255"/>
    </row>
    <row r="14" ht="20.1" customHeight="1" s="19" customFormat="1">
      <c r="A14" s="63"/>
      <c r="B14" s="64"/>
      <c r="C14" s="63"/>
      <c r="D14" s="65"/>
      <c r="E14" s="66"/>
      <c r="F14" s="67"/>
      <c r="G14" s="42"/>
      <c r="H14" s="68"/>
      <c r="I14" s="67"/>
      <c r="J14" s="42"/>
      <c r="K14" s="68"/>
      <c r="L14" s="69"/>
      <c r="M14" s="70"/>
      <c r="N14" s="71"/>
      <c r="O14" s="172"/>
      <c r="P14" s="178"/>
      <c r="Q14" s="170"/>
      <c r="R14" s="157"/>
      <c r="S14" s="167"/>
      <c r="T14" s="42"/>
      <c r="U14" s="68"/>
      <c r="V14" s="167"/>
      <c r="W14" s="42"/>
      <c r="X14" s="68"/>
      <c r="Y14" s="161"/>
      <c r="Z14" s="253"/>
      <c r="AA14" s="254"/>
      <c r="AB14" s="254"/>
      <c r="AC14" s="255"/>
    </row>
    <row r="15" ht="20.1" customHeight="1" s="19" customFormat="1">
      <c r="A15" s="63"/>
      <c r="B15" s="64"/>
      <c r="C15" s="63"/>
      <c r="D15" s="65"/>
      <c r="E15" s="66"/>
      <c r="F15" s="67"/>
      <c r="G15" s="42"/>
      <c r="H15" s="68"/>
      <c r="I15" s="67"/>
      <c r="J15" s="42"/>
      <c r="K15" s="68"/>
      <c r="L15" s="69"/>
      <c r="M15" s="70"/>
      <c r="N15" s="71"/>
      <c r="O15" s="173"/>
      <c r="P15" s="178"/>
      <c r="Q15" s="170"/>
      <c r="R15" s="157"/>
      <c r="S15" s="167"/>
      <c r="T15" s="42"/>
      <c r="U15" s="68"/>
      <c r="V15" s="167"/>
      <c r="W15" s="42"/>
      <c r="X15" s="68"/>
      <c r="Y15" s="161"/>
      <c r="Z15" s="253"/>
      <c r="AA15" s="254"/>
      <c r="AB15" s="254"/>
      <c r="AC15" s="255"/>
    </row>
    <row r="16" ht="20.1" customHeight="1" s="19" customFormat="1">
      <c r="A16" s="63"/>
      <c r="B16" s="64"/>
      <c r="C16" s="63"/>
      <c r="D16" s="65"/>
      <c r="E16" s="66"/>
      <c r="F16" s="67"/>
      <c r="G16" s="42"/>
      <c r="H16" s="68"/>
      <c r="I16" s="67"/>
      <c r="J16" s="42"/>
      <c r="K16" s="68"/>
      <c r="L16" s="69"/>
      <c r="M16" s="70"/>
      <c r="N16" s="71"/>
      <c r="O16" s="173"/>
      <c r="P16" s="178"/>
      <c r="Q16" s="170"/>
      <c r="R16" s="157"/>
      <c r="S16" s="167"/>
      <c r="T16" s="42"/>
      <c r="U16" s="68"/>
      <c r="V16" s="167"/>
      <c r="W16" s="42"/>
      <c r="X16" s="68"/>
      <c r="Y16" s="161"/>
      <c r="Z16" s="253"/>
      <c r="AA16" s="254"/>
      <c r="AB16" s="254"/>
      <c r="AC16" s="255"/>
    </row>
    <row r="17" ht="20.1" customHeight="1" s="19" customFormat="1">
      <c r="A17" s="63"/>
      <c r="B17" s="64"/>
      <c r="C17" s="63"/>
      <c r="D17" s="65"/>
      <c r="E17" s="66"/>
      <c r="F17" s="67"/>
      <c r="G17" s="42"/>
      <c r="H17" s="68"/>
      <c r="I17" s="67"/>
      <c r="J17" s="42"/>
      <c r="K17" s="68"/>
      <c r="L17" s="69"/>
      <c r="M17" s="70"/>
      <c r="N17" s="71"/>
      <c r="O17" s="172"/>
      <c r="P17" s="178"/>
      <c r="Q17" s="170"/>
      <c r="R17" s="157"/>
      <c r="S17" s="167"/>
      <c r="T17" s="42"/>
      <c r="U17" s="68"/>
      <c r="V17" s="167"/>
      <c r="W17" s="42"/>
      <c r="X17" s="68"/>
      <c r="Y17" s="161"/>
      <c r="Z17" s="253"/>
      <c r="AA17" s="254"/>
      <c r="AB17" s="254"/>
      <c r="AC17" s="255"/>
    </row>
    <row r="18" ht="20.1" customHeight="1" s="19" customFormat="1">
      <c r="A18" s="63"/>
      <c r="B18" s="64"/>
      <c r="C18" s="63"/>
      <c r="D18" s="65"/>
      <c r="E18" s="66"/>
      <c r="F18" s="67"/>
      <c r="G18" s="42"/>
      <c r="H18" s="68"/>
      <c r="I18" s="67"/>
      <c r="J18" s="42"/>
      <c r="K18" s="68"/>
      <c r="L18" s="69"/>
      <c r="M18" s="70"/>
      <c r="N18" s="71"/>
      <c r="O18" s="173"/>
      <c r="P18" s="178"/>
      <c r="Q18" s="170"/>
      <c r="R18" s="157"/>
      <c r="S18" s="167"/>
      <c r="T18" s="42"/>
      <c r="U18" s="68"/>
      <c r="V18" s="167"/>
      <c r="W18" s="42"/>
      <c r="X18" s="68"/>
      <c r="Y18" s="161"/>
      <c r="Z18" s="253"/>
      <c r="AA18" s="254"/>
      <c r="AB18" s="254"/>
      <c r="AC18" s="255"/>
    </row>
    <row r="19" ht="20.1" customHeight="1" s="19" customFormat="1">
      <c r="A19" s="63"/>
      <c r="B19" s="64"/>
      <c r="C19" s="63"/>
      <c r="D19" s="65"/>
      <c r="E19" s="66"/>
      <c r="F19" s="67"/>
      <c r="G19" s="42"/>
      <c r="H19" s="68"/>
      <c r="I19" s="67"/>
      <c r="J19" s="42"/>
      <c r="K19" s="68"/>
      <c r="L19" s="69"/>
      <c r="M19" s="70"/>
      <c r="N19" s="71"/>
      <c r="O19" s="173"/>
      <c r="P19" s="178"/>
      <c r="Q19" s="170"/>
      <c r="R19" s="157"/>
      <c r="S19" s="167"/>
      <c r="T19" s="42"/>
      <c r="U19" s="68"/>
      <c r="V19" s="167"/>
      <c r="W19" s="42"/>
      <c r="X19" s="68"/>
      <c r="Y19" s="161"/>
      <c r="Z19" s="253"/>
      <c r="AA19" s="254"/>
      <c r="AB19" s="254"/>
      <c r="AC19" s="255"/>
    </row>
    <row r="20" ht="20.1" customHeight="1" s="19" customFormat="1">
      <c r="A20" s="63"/>
      <c r="B20" s="64"/>
      <c r="C20" s="63"/>
      <c r="D20" s="65"/>
      <c r="E20" s="66"/>
      <c r="F20" s="67"/>
      <c r="G20" s="42"/>
      <c r="H20" s="68"/>
      <c r="I20" s="67"/>
      <c r="J20" s="42"/>
      <c r="K20" s="68"/>
      <c r="L20" s="69"/>
      <c r="M20" s="70"/>
      <c r="N20" s="71"/>
      <c r="O20" s="173"/>
      <c r="P20" s="178"/>
      <c r="Q20" s="170"/>
      <c r="R20" s="157"/>
      <c r="S20" s="167"/>
      <c r="T20" s="42"/>
      <c r="U20" s="68"/>
      <c r="V20" s="167"/>
      <c r="W20" s="42"/>
      <c r="X20" s="68"/>
      <c r="Y20" s="161"/>
      <c r="Z20" s="253"/>
      <c r="AA20" s="254"/>
      <c r="AB20" s="254"/>
      <c r="AC20" s="255"/>
    </row>
    <row r="21" ht="20.1" customHeight="1" s="19" customFormat="1">
      <c r="A21" s="63"/>
      <c r="B21" s="64"/>
      <c r="C21" s="63"/>
      <c r="D21" s="65"/>
      <c r="E21" s="66"/>
      <c r="F21" s="67"/>
      <c r="G21" s="42"/>
      <c r="H21" s="68"/>
      <c r="I21" s="67"/>
      <c r="J21" s="42"/>
      <c r="K21" s="68"/>
      <c r="L21" s="69"/>
      <c r="M21" s="70"/>
      <c r="N21" s="71"/>
      <c r="O21" s="173"/>
      <c r="P21" s="178"/>
      <c r="Q21" s="170"/>
      <c r="R21" s="157"/>
      <c r="S21" s="167"/>
      <c r="T21" s="42"/>
      <c r="U21" s="68"/>
      <c r="V21" s="167"/>
      <c r="W21" s="42"/>
      <c r="X21" s="68"/>
      <c r="Y21" s="161"/>
      <c r="Z21" s="253"/>
      <c r="AA21" s="254"/>
      <c r="AB21" s="254"/>
      <c r="AC21" s="255"/>
    </row>
    <row r="22" ht="20.1" customHeight="1" s="19" customFormat="1">
      <c r="A22" s="63"/>
      <c r="B22" s="64"/>
      <c r="C22" s="63"/>
      <c r="D22" s="65"/>
      <c r="E22" s="66"/>
      <c r="F22" s="67"/>
      <c r="G22" s="42"/>
      <c r="H22" s="68"/>
      <c r="I22" s="67"/>
      <c r="J22" s="42"/>
      <c r="K22" s="68"/>
      <c r="L22" s="69"/>
      <c r="M22" s="70"/>
      <c r="N22" s="71"/>
      <c r="O22" s="173"/>
      <c r="P22" s="178"/>
      <c r="Q22" s="170"/>
      <c r="R22" s="157"/>
      <c r="S22" s="167"/>
      <c r="T22" s="42"/>
      <c r="U22" s="68"/>
      <c r="V22" s="167"/>
      <c r="W22" s="42"/>
      <c r="X22" s="68"/>
      <c r="Y22" s="161"/>
      <c r="Z22" s="253"/>
      <c r="AA22" s="254"/>
      <c r="AB22" s="254"/>
      <c r="AC22" s="255"/>
    </row>
    <row r="23" ht="20.1" customHeight="1" s="19" customFormat="1">
      <c r="A23" s="63"/>
      <c r="B23" s="64"/>
      <c r="C23" s="63"/>
      <c r="D23" s="65"/>
      <c r="E23" s="66"/>
      <c r="F23" s="67"/>
      <c r="G23" s="42"/>
      <c r="H23" s="68"/>
      <c r="I23" s="67"/>
      <c r="J23" s="42"/>
      <c r="K23" s="68"/>
      <c r="L23" s="69"/>
      <c r="M23" s="70"/>
      <c r="N23" s="71"/>
      <c r="O23" s="173"/>
      <c r="P23" s="178"/>
      <c r="Q23" s="170"/>
      <c r="R23" s="157"/>
      <c r="S23" s="167"/>
      <c r="T23" s="42"/>
      <c r="U23" s="68"/>
      <c r="V23" s="167"/>
      <c r="W23" s="42"/>
      <c r="X23" s="68"/>
      <c r="Y23" s="161"/>
      <c r="Z23" s="253"/>
      <c r="AA23" s="254"/>
      <c r="AB23" s="254"/>
      <c r="AC23" s="255"/>
    </row>
    <row r="24" ht="20.1" customHeight="1" s="19" customFormat="1">
      <c r="A24" s="63"/>
      <c r="B24" s="64"/>
      <c r="C24" s="63"/>
      <c r="D24" s="65"/>
      <c r="E24" s="66"/>
      <c r="F24" s="67"/>
      <c r="G24" s="42"/>
      <c r="H24" s="68"/>
      <c r="I24" s="67"/>
      <c r="J24" s="42"/>
      <c r="K24" s="68"/>
      <c r="L24" s="69"/>
      <c r="M24" s="70"/>
      <c r="N24" s="71"/>
      <c r="O24" s="173"/>
      <c r="P24" s="178"/>
      <c r="Q24" s="170"/>
      <c r="R24" s="157"/>
      <c r="S24" s="167"/>
      <c r="T24" s="42"/>
      <c r="U24" s="68"/>
      <c r="V24" s="167"/>
      <c r="W24" s="42"/>
      <c r="X24" s="68"/>
      <c r="Y24" s="161"/>
      <c r="Z24" s="253"/>
      <c r="AA24" s="254"/>
      <c r="AB24" s="254"/>
      <c r="AC24" s="255"/>
    </row>
    <row r="25" ht="20.1" customHeight="1" s="19" customFormat="1">
      <c r="A25" s="63"/>
      <c r="B25" s="64"/>
      <c r="C25" s="63"/>
      <c r="D25" s="65"/>
      <c r="E25" s="66"/>
      <c r="F25" s="67"/>
      <c r="G25" s="42"/>
      <c r="H25" s="68"/>
      <c r="I25" s="67"/>
      <c r="J25" s="42"/>
      <c r="K25" s="68"/>
      <c r="L25" s="69"/>
      <c r="M25" s="70"/>
      <c r="N25" s="71"/>
      <c r="O25" s="173"/>
      <c r="P25" s="178"/>
      <c r="Q25" s="170"/>
      <c r="R25" s="157"/>
      <c r="S25" s="167"/>
      <c r="T25" s="42"/>
      <c r="U25" s="68"/>
      <c r="V25" s="167"/>
      <c r="W25" s="42"/>
      <c r="X25" s="68"/>
      <c r="Y25" s="161"/>
      <c r="Z25" s="253"/>
      <c r="AA25" s="254"/>
      <c r="AB25" s="254"/>
      <c r="AC25" s="255"/>
    </row>
    <row r="26" ht="20.1" customHeight="1" s="19" customFormat="1">
      <c r="A26" s="63"/>
      <c r="B26" s="64"/>
      <c r="C26" s="63"/>
      <c r="D26" s="65"/>
      <c r="E26" s="66"/>
      <c r="F26" s="67"/>
      <c r="G26" s="42"/>
      <c r="H26" s="68"/>
      <c r="I26" s="67"/>
      <c r="J26" s="42"/>
      <c r="K26" s="68"/>
      <c r="L26" s="69"/>
      <c r="M26" s="70"/>
      <c r="N26" s="71"/>
      <c r="O26" s="173"/>
      <c r="P26" s="178"/>
      <c r="Q26" s="170"/>
      <c r="R26" s="157"/>
      <c r="S26" s="167"/>
      <c r="T26" s="42"/>
      <c r="U26" s="68"/>
      <c r="V26" s="167"/>
      <c r="W26" s="42"/>
      <c r="X26" s="68"/>
      <c r="Y26" s="161"/>
      <c r="Z26" s="253"/>
      <c r="AA26" s="254"/>
      <c r="AB26" s="254"/>
      <c r="AC26" s="255"/>
    </row>
    <row r="27" ht="20.1" customHeight="1" s="19" customFormat="1">
      <c r="A27" s="63"/>
      <c r="B27" s="64"/>
      <c r="C27" s="63"/>
      <c r="D27" s="65"/>
      <c r="E27" s="66"/>
      <c r="F27" s="67"/>
      <c r="G27" s="42"/>
      <c r="H27" s="68"/>
      <c r="I27" s="67"/>
      <c r="J27" s="42"/>
      <c r="K27" s="68"/>
      <c r="L27" s="69"/>
      <c r="M27" s="70"/>
      <c r="N27" s="71"/>
      <c r="O27" s="173"/>
      <c r="P27" s="178"/>
      <c r="Q27" s="170"/>
      <c r="R27" s="157"/>
      <c r="S27" s="167"/>
      <c r="T27" s="42"/>
      <c r="U27" s="68"/>
      <c r="V27" s="167"/>
      <c r="W27" s="42"/>
      <c r="X27" s="68"/>
      <c r="Y27" s="161"/>
      <c r="Z27" s="253"/>
      <c r="AA27" s="254"/>
      <c r="AB27" s="254"/>
      <c r="AC27" s="255"/>
    </row>
    <row r="28" ht="20.1" customHeight="1" s="19" customFormat="1">
      <c r="A28" s="63"/>
      <c r="B28" s="64"/>
      <c r="C28" s="63"/>
      <c r="D28" s="65"/>
      <c r="E28" s="66"/>
      <c r="F28" s="67"/>
      <c r="G28" s="42"/>
      <c r="H28" s="68"/>
      <c r="I28" s="67"/>
      <c r="J28" s="42"/>
      <c r="K28" s="68"/>
      <c r="L28" s="69"/>
      <c r="M28" s="70"/>
      <c r="N28" s="71"/>
      <c r="O28" s="173"/>
      <c r="P28" s="178"/>
      <c r="Q28" s="170"/>
      <c r="R28" s="157"/>
      <c r="S28" s="167"/>
      <c r="T28" s="42"/>
      <c r="U28" s="68"/>
      <c r="V28" s="167"/>
      <c r="W28" s="42"/>
      <c r="X28" s="68"/>
      <c r="Y28" s="161"/>
      <c r="Z28" s="253"/>
      <c r="AA28" s="254"/>
      <c r="AB28" s="254"/>
      <c r="AC28" s="255"/>
    </row>
    <row r="29" ht="20.1" customHeight="1" s="19" customFormat="1">
      <c r="A29" s="63"/>
      <c r="B29" s="64"/>
      <c r="C29" s="63"/>
      <c r="D29" s="65"/>
      <c r="E29" s="66"/>
      <c r="F29" s="67"/>
      <c r="G29" s="42"/>
      <c r="H29" s="68"/>
      <c r="I29" s="67"/>
      <c r="J29" s="42"/>
      <c r="K29" s="68"/>
      <c r="L29" s="69"/>
      <c r="M29" s="70"/>
      <c r="N29" s="71"/>
      <c r="O29" s="173"/>
      <c r="P29" s="178"/>
      <c r="Q29" s="170"/>
      <c r="R29" s="157"/>
      <c r="S29" s="167"/>
      <c r="T29" s="42"/>
      <c r="U29" s="68"/>
      <c r="V29" s="167"/>
      <c r="W29" s="42"/>
      <c r="X29" s="68"/>
      <c r="Y29" s="161"/>
      <c r="Z29" s="253"/>
      <c r="AA29" s="254"/>
      <c r="AB29" s="254"/>
      <c r="AC29" s="255"/>
    </row>
    <row r="30" ht="20.1" customHeight="1" s="19" customFormat="1">
      <c r="A30" s="63"/>
      <c r="B30" s="64"/>
      <c r="C30" s="63"/>
      <c r="D30" s="65"/>
      <c r="E30" s="66"/>
      <c r="F30" s="67"/>
      <c r="G30" s="42"/>
      <c r="H30" s="68"/>
      <c r="I30" s="67"/>
      <c r="J30" s="42"/>
      <c r="K30" s="68"/>
      <c r="L30" s="69"/>
      <c r="M30" s="70"/>
      <c r="N30" s="71"/>
      <c r="O30" s="173"/>
      <c r="P30" s="178"/>
      <c r="Q30" s="170"/>
      <c r="R30" s="157"/>
      <c r="S30" s="167"/>
      <c r="T30" s="42"/>
      <c r="U30" s="68"/>
      <c r="V30" s="167"/>
      <c r="W30" s="42"/>
      <c r="X30" s="68"/>
      <c r="Y30" s="161"/>
      <c r="Z30" s="253"/>
      <c r="AA30" s="254"/>
      <c r="AB30" s="254"/>
      <c r="AC30" s="255"/>
    </row>
    <row r="31" ht="20.1" customHeight="1" s="19" customFormat="1">
      <c r="A31" s="63"/>
      <c r="B31" s="64"/>
      <c r="C31" s="63"/>
      <c r="D31" s="65"/>
      <c r="E31" s="66"/>
      <c r="F31" s="67"/>
      <c r="G31" s="42"/>
      <c r="H31" s="68"/>
      <c r="I31" s="67"/>
      <c r="J31" s="42"/>
      <c r="K31" s="68"/>
      <c r="L31" s="69"/>
      <c r="M31" s="70"/>
      <c r="N31" s="71"/>
      <c r="O31" s="173"/>
      <c r="P31" s="178"/>
      <c r="Q31" s="170"/>
      <c r="R31" s="157"/>
      <c r="S31" s="167"/>
      <c r="T31" s="42"/>
      <c r="U31" s="68"/>
      <c r="V31" s="167"/>
      <c r="W31" s="42"/>
      <c r="X31" s="68"/>
      <c r="Y31" s="161"/>
      <c r="Z31" s="253"/>
      <c r="AA31" s="254"/>
      <c r="AB31" s="254"/>
      <c r="AC31" s="255"/>
    </row>
    <row r="32" ht="20.1" customHeight="1" s="19" customFormat="1">
      <c r="A32" s="63"/>
      <c r="B32" s="64"/>
      <c r="C32" s="63"/>
      <c r="D32" s="65"/>
      <c r="E32" s="66"/>
      <c r="F32" s="67"/>
      <c r="G32" s="42"/>
      <c r="H32" s="68"/>
      <c r="I32" s="67"/>
      <c r="J32" s="42"/>
      <c r="K32" s="68"/>
      <c r="L32" s="69"/>
      <c r="M32" s="70"/>
      <c r="N32" s="71"/>
      <c r="O32" s="173"/>
      <c r="P32" s="178"/>
      <c r="Q32" s="170"/>
      <c r="R32" s="157"/>
      <c r="S32" s="167"/>
      <c r="T32" s="42"/>
      <c r="U32" s="68"/>
      <c r="V32" s="167"/>
      <c r="W32" s="42"/>
      <c r="X32" s="68"/>
      <c r="Y32" s="161"/>
      <c r="Z32" s="253"/>
      <c r="AA32" s="254"/>
      <c r="AB32" s="254"/>
      <c r="AC32" s="255"/>
    </row>
    <row r="33" ht="20.1" customHeight="1" s="19" customFormat="1">
      <c r="A33" s="63"/>
      <c r="B33" s="64"/>
      <c r="C33" s="63"/>
      <c r="D33" s="65"/>
      <c r="E33" s="66"/>
      <c r="F33" s="67"/>
      <c r="G33" s="42"/>
      <c r="H33" s="68"/>
      <c r="I33" s="67"/>
      <c r="J33" s="42"/>
      <c r="K33" s="68"/>
      <c r="L33" s="69"/>
      <c r="M33" s="70"/>
      <c r="N33" s="71"/>
      <c r="O33" s="173"/>
      <c r="P33" s="178"/>
      <c r="Q33" s="170"/>
      <c r="R33" s="157"/>
      <c r="S33" s="167"/>
      <c r="T33" s="42"/>
      <c r="U33" s="68"/>
      <c r="V33" s="167"/>
      <c r="W33" s="42"/>
      <c r="X33" s="68"/>
      <c r="Y33" s="161"/>
      <c r="Z33" s="253"/>
      <c r="AA33" s="254"/>
      <c r="AB33" s="254"/>
      <c r="AC33" s="255"/>
    </row>
    <row r="34" ht="20.1" customHeight="1" s="19" customFormat="1">
      <c r="A34" s="63"/>
      <c r="B34" s="64"/>
      <c r="C34" s="63"/>
      <c r="D34" s="65"/>
      <c r="E34" s="66"/>
      <c r="F34" s="67"/>
      <c r="G34" s="42"/>
      <c r="H34" s="68"/>
      <c r="I34" s="67"/>
      <c r="J34" s="42"/>
      <c r="K34" s="68"/>
      <c r="L34" s="69"/>
      <c r="M34" s="70"/>
      <c r="N34" s="71"/>
      <c r="O34" s="173"/>
      <c r="P34" s="178"/>
      <c r="Q34" s="170"/>
      <c r="R34" s="157"/>
      <c r="S34" s="167"/>
      <c r="T34" s="42"/>
      <c r="U34" s="68"/>
      <c r="V34" s="167"/>
      <c r="W34" s="42"/>
      <c r="X34" s="68"/>
      <c r="Y34" s="161"/>
      <c r="Z34" s="253"/>
      <c r="AA34" s="254"/>
      <c r="AB34" s="254"/>
      <c r="AC34" s="255"/>
    </row>
    <row r="35" ht="20.1" customHeight="1" s="19" customFormat="1">
      <c r="A35" s="63"/>
      <c r="B35" s="64"/>
      <c r="C35" s="63"/>
      <c r="D35" s="65"/>
      <c r="E35" s="66"/>
      <c r="F35" s="67"/>
      <c r="G35" s="42"/>
      <c r="H35" s="68"/>
      <c r="I35" s="67"/>
      <c r="J35" s="42"/>
      <c r="K35" s="68"/>
      <c r="L35" s="69"/>
      <c r="M35" s="70"/>
      <c r="N35" s="71"/>
      <c r="O35" s="173"/>
      <c r="P35" s="178"/>
      <c r="Q35" s="170"/>
      <c r="R35" s="157"/>
      <c r="S35" s="167"/>
      <c r="T35" s="42"/>
      <c r="U35" s="68"/>
      <c r="V35" s="167"/>
      <c r="W35" s="42"/>
      <c r="X35" s="68"/>
      <c r="Y35" s="161"/>
      <c r="Z35" s="253"/>
      <c r="AA35" s="254"/>
      <c r="AB35" s="254"/>
      <c r="AC35" s="255"/>
    </row>
    <row r="36" ht="20.1" customHeight="1" s="19" customFormat="1">
      <c r="A36" s="63"/>
      <c r="B36" s="64"/>
      <c r="C36" s="63"/>
      <c r="D36" s="65"/>
      <c r="E36" s="66"/>
      <c r="F36" s="67"/>
      <c r="G36" s="42"/>
      <c r="H36" s="68"/>
      <c r="I36" s="67"/>
      <c r="J36" s="42"/>
      <c r="K36" s="68"/>
      <c r="L36" s="69"/>
      <c r="M36" s="70"/>
      <c r="N36" s="71"/>
      <c r="O36" s="173"/>
      <c r="P36" s="178"/>
      <c r="Q36" s="170"/>
      <c r="R36" s="157"/>
      <c r="S36" s="167"/>
      <c r="T36" s="42"/>
      <c r="U36" s="68"/>
      <c r="V36" s="167"/>
      <c r="W36" s="42"/>
      <c r="X36" s="68"/>
      <c r="Y36" s="161"/>
      <c r="Z36" s="253"/>
      <c r="AA36" s="254"/>
      <c r="AB36" s="254"/>
      <c r="AC36" s="255"/>
    </row>
    <row r="37" ht="20.1" customHeight="1" s="19" customFormat="1">
      <c r="A37" s="63"/>
      <c r="B37" s="64"/>
      <c r="C37" s="63"/>
      <c r="D37" s="65"/>
      <c r="E37" s="66"/>
      <c r="F37" s="67"/>
      <c r="G37" s="42"/>
      <c r="H37" s="68"/>
      <c r="I37" s="67"/>
      <c r="J37" s="42"/>
      <c r="K37" s="68"/>
      <c r="L37" s="69"/>
      <c r="M37" s="70"/>
      <c r="N37" s="71"/>
      <c r="O37" s="173"/>
      <c r="P37" s="178"/>
      <c r="Q37" s="170"/>
      <c r="R37" s="157"/>
      <c r="S37" s="167"/>
      <c r="T37" s="42"/>
      <c r="U37" s="68"/>
      <c r="V37" s="167"/>
      <c r="W37" s="42"/>
      <c r="X37" s="68"/>
      <c r="Y37" s="161"/>
      <c r="Z37" s="253"/>
      <c r="AA37" s="254"/>
      <c r="AB37" s="254"/>
      <c r="AC37" s="255"/>
    </row>
    <row r="38" ht="20.1" customHeight="1" s="19" customFormat="1">
      <c r="A38" s="63"/>
      <c r="B38" s="64"/>
      <c r="C38" s="63"/>
      <c r="D38" s="65"/>
      <c r="E38" s="66"/>
      <c r="F38" s="67"/>
      <c r="G38" s="42"/>
      <c r="H38" s="68"/>
      <c r="I38" s="67"/>
      <c r="J38" s="42"/>
      <c r="K38" s="68"/>
      <c r="L38" s="69"/>
      <c r="M38" s="70"/>
      <c r="N38" s="71"/>
      <c r="O38" s="173"/>
      <c r="P38" s="178"/>
      <c r="Q38" s="170"/>
      <c r="R38" s="157"/>
      <c r="S38" s="167"/>
      <c r="T38" s="42"/>
      <c r="U38" s="68"/>
      <c r="V38" s="167"/>
      <c r="W38" s="42"/>
      <c r="X38" s="68"/>
      <c r="Y38" s="161"/>
      <c r="Z38" s="253"/>
      <c r="AA38" s="254"/>
      <c r="AB38" s="254"/>
      <c r="AC38" s="255"/>
    </row>
    <row r="39" ht="20.1" customHeight="1" s="19" customFormat="1">
      <c r="A39" s="63"/>
      <c r="B39" s="64"/>
      <c r="C39" s="63"/>
      <c r="D39" s="65"/>
      <c r="E39" s="66"/>
      <c r="F39" s="67"/>
      <c r="G39" s="42"/>
      <c r="H39" s="68"/>
      <c r="I39" s="67"/>
      <c r="J39" s="42"/>
      <c r="K39" s="68"/>
      <c r="L39" s="69"/>
      <c r="M39" s="70"/>
      <c r="N39" s="71"/>
      <c r="O39" s="173"/>
      <c r="P39" s="178"/>
      <c r="Q39" s="170"/>
      <c r="R39" s="157"/>
      <c r="S39" s="167"/>
      <c r="T39" s="42"/>
      <c r="U39" s="68"/>
      <c r="V39" s="167"/>
      <c r="W39" s="42"/>
      <c r="X39" s="68"/>
      <c r="Y39" s="161"/>
      <c r="Z39" s="253"/>
      <c r="AA39" s="254"/>
      <c r="AB39" s="254"/>
      <c r="AC39" s="255"/>
    </row>
    <row r="40" ht="20.1" customHeight="1" s="19" customFormat="1">
      <c r="A40" s="63"/>
      <c r="B40" s="64"/>
      <c r="C40" s="63"/>
      <c r="D40" s="65"/>
      <c r="E40" s="66"/>
      <c r="F40" s="67"/>
      <c r="G40" s="42"/>
      <c r="H40" s="68"/>
      <c r="I40" s="67"/>
      <c r="J40" s="42"/>
      <c r="K40" s="68"/>
      <c r="L40" s="69"/>
      <c r="M40" s="70"/>
      <c r="N40" s="71"/>
      <c r="O40" s="173"/>
      <c r="P40" s="178"/>
      <c r="Q40" s="170"/>
      <c r="R40" s="157"/>
      <c r="S40" s="167"/>
      <c r="T40" s="42"/>
      <c r="U40" s="68"/>
      <c r="V40" s="167"/>
      <c r="W40" s="42"/>
      <c r="X40" s="68"/>
      <c r="Y40" s="161"/>
      <c r="Z40" s="253"/>
      <c r="AA40" s="254"/>
      <c r="AB40" s="254"/>
      <c r="AC40" s="255"/>
    </row>
    <row r="41" ht="20.1" customHeight="1" s="19" customFormat="1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170"/>
      <c r="R41" s="157"/>
      <c r="S41" s="167"/>
      <c r="T41" s="42"/>
      <c r="U41" s="68"/>
      <c r="V41" s="167"/>
      <c r="W41" s="42"/>
      <c r="X41" s="68"/>
      <c r="Y41" s="161"/>
      <c r="Z41" s="253"/>
      <c r="AA41" s="254"/>
      <c r="AB41" s="254"/>
      <c r="AC41" s="255"/>
    </row>
    <row r="42" ht="20.1" customHeight="1" s="19" customFormat="1">
      <c r="A42" s="74" t="s">
        <v>14</v>
      </c>
      <c r="B42" s="288">
        <f>SUM(B5:B41)</f>
        <v>0</v>
      </c>
      <c r="C42" s="289"/>
      <c r="D42" s="285"/>
      <c r="E42" s="286"/>
      <c r="F42" s="286"/>
      <c r="G42" s="286"/>
      <c r="H42" s="286"/>
      <c r="I42" s="286"/>
      <c r="J42" s="286"/>
      <c r="K42" s="286"/>
      <c r="L42" s="286"/>
      <c r="M42" s="286"/>
      <c r="N42" s="286"/>
      <c r="O42" s="286"/>
      <c r="P42" s="286"/>
      <c r="Q42" s="286"/>
      <c r="R42" s="286"/>
      <c r="S42" s="286"/>
      <c r="T42" s="286"/>
      <c r="U42" s="286"/>
      <c r="V42" s="286"/>
      <c r="W42" s="286"/>
      <c r="X42" s="286"/>
      <c r="Y42" s="286"/>
      <c r="Z42" s="286"/>
      <c r="AA42" s="286"/>
      <c r="AB42" s="286"/>
      <c r="AC42" s="287"/>
    </row>
    <row r="43" ht="20.1" customHeight="1" s="19" customFormat="1">
      <c r="A43" s="164" t="s">
        <v>47</v>
      </c>
      <c r="B43" s="276"/>
      <c r="C43" s="276"/>
      <c r="D43" s="276"/>
      <c r="E43" s="276"/>
      <c r="F43" s="276"/>
      <c r="G43" s="276"/>
      <c r="H43" s="276"/>
      <c r="I43" s="276"/>
      <c r="J43" s="276"/>
      <c r="K43" s="276"/>
      <c r="L43" s="276"/>
      <c r="M43" s="276"/>
      <c r="N43" s="276"/>
      <c r="O43" s="276"/>
      <c r="P43" s="276"/>
      <c r="Q43" s="276"/>
      <c r="R43" s="276"/>
      <c r="S43" s="276"/>
      <c r="T43" s="276"/>
      <c r="U43" s="276"/>
      <c r="V43" s="276"/>
      <c r="W43" s="276"/>
      <c r="X43" s="276"/>
      <c r="Y43" s="276"/>
      <c r="Z43" s="276"/>
      <c r="AA43" s="276"/>
      <c r="AB43" s="276"/>
      <c r="AC43" s="277"/>
    </row>
    <row r="44" ht="20.1" customHeight="1" s="19" customFormat="1">
      <c r="A44" s="253"/>
      <c r="B44" s="254"/>
      <c r="C44" s="254"/>
      <c r="D44" s="254"/>
      <c r="E44" s="254"/>
      <c r="F44" s="254"/>
      <c r="G44" s="254"/>
      <c r="H44" s="254"/>
      <c r="I44" s="254"/>
      <c r="J44" s="254"/>
      <c r="K44" s="254"/>
      <c r="L44" s="254"/>
      <c r="M44" s="254"/>
      <c r="N44" s="254"/>
      <c r="O44" s="254"/>
      <c r="P44" s="254"/>
      <c r="Q44" s="254"/>
      <c r="R44" s="254"/>
      <c r="S44" s="254"/>
      <c r="T44" s="254"/>
      <c r="U44" s="254"/>
      <c r="V44" s="254"/>
      <c r="W44" s="254"/>
      <c r="X44" s="254"/>
      <c r="Y44" s="254"/>
      <c r="Z44" s="254"/>
      <c r="AA44" s="254"/>
      <c r="AB44" s="254"/>
      <c r="AC44" s="255"/>
    </row>
    <row r="45" ht="20.1" customHeight="1" s="19" customFormat="1">
      <c r="A45" s="282"/>
      <c r="B45" s="283"/>
      <c r="C45" s="283"/>
      <c r="D45" s="283"/>
      <c r="E45" s="283"/>
      <c r="F45" s="283"/>
      <c r="G45" s="283"/>
      <c r="H45" s="283"/>
      <c r="I45" s="283"/>
      <c r="J45" s="283"/>
      <c r="K45" s="283"/>
      <c r="L45" s="283"/>
      <c r="M45" s="283"/>
      <c r="N45" s="283"/>
      <c r="O45" s="283"/>
      <c r="P45" s="283"/>
      <c r="Q45" s="283"/>
      <c r="R45" s="283"/>
      <c r="S45" s="283"/>
      <c r="T45" s="283"/>
      <c r="U45" s="283"/>
      <c r="V45" s="283"/>
      <c r="W45" s="283"/>
      <c r="X45" s="283"/>
      <c r="Y45" s="283"/>
      <c r="Z45" s="283"/>
      <c r="AA45" s="283"/>
      <c r="AB45" s="283"/>
      <c r="AC45" s="284"/>
    </row>
    <row r="46" ht="17.45" customHeight="1" s="19" customFormat="1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ht="17.45" customHeight="1" s="19" customForma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Z47" s="18"/>
      <c r="AA47" s="18"/>
      <c r="AB47" s="18"/>
    </row>
    <row r="48" ht="17.45" customHeight="1" s="19" customFormat="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Z48" s="18"/>
      <c r="AA48" s="18"/>
      <c r="AB48" s="18"/>
    </row>
    <row r="49" ht="17.45" customHeight="1" s="19" customFormat="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Z49" s="18"/>
      <c r="AA49" s="18"/>
      <c r="AB49" s="18"/>
    </row>
    <row r="50" ht="17.45" customHeight="1" s="19" customFormat="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Z50" s="18"/>
      <c r="AA50" s="18"/>
      <c r="AB50" s="18"/>
    </row>
    <row r="51" ht="17.45" customHeight="1" s="19" customFormat="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Z51" s="18"/>
      <c r="AA51" s="18"/>
      <c r="AB51" s="18"/>
    </row>
    <row r="52" ht="15" s="19" customFormat="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Z52" s="18"/>
      <c r="AA52" s="18"/>
      <c r="AB52" s="18"/>
    </row>
    <row r="53" ht="15" s="19" customFormat="1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Z53" s="18"/>
      <c r="AA53" s="18"/>
      <c r="AB53" s="18"/>
    </row>
    <row r="54" ht="15" s="19" customFormat="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Z54" s="18"/>
      <c r="AA54" s="18"/>
      <c r="AB54" s="18"/>
    </row>
    <row r="55" ht="15" s="19" customForma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Z55" s="18"/>
      <c r="AA55" s="18"/>
      <c r="AB55" s="18"/>
    </row>
  </sheetData>
  <dataConsolidate/>
  <mergeCells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F3:H3"/>
    <mergeCell ref="D3:E4"/>
    <mergeCell ref="S3:U3"/>
    <mergeCell ref="T4:U4"/>
    <mergeCell ref="Y3:Y4"/>
    <mergeCell ref="AA1:AC1"/>
    <mergeCell ref="Z6:AC6"/>
    <mergeCell ref="Z3:AC4"/>
    <mergeCell ref="Z10:AC10"/>
    <mergeCell ref="Z13:AC13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C10" sqref="C10"/>
    </sheetView>
  </sheetViews>
  <sheetFormatPr defaultRowHeight="15" x14ac:dyDescent="0.2"/>
  <cols>
    <col min="1" max="2" width="10.7109375" customWidth="1" style="46"/>
    <col min="3" max="3" width="8.7109375" customWidth="1" style="46"/>
    <col min="4" max="5" width="10.28515625" customWidth="1" style="46"/>
    <col min="6" max="6" width="18.7109375" customWidth="1" style="47"/>
    <col min="7" max="7" width="3.28515625" customWidth="1" style="47"/>
    <col min="8" max="9" width="10.7109375" customWidth="1" style="46"/>
    <col min="10" max="10" width="8.7109375" customWidth="1" style="46"/>
    <col min="11" max="12" width="10.28515625" customWidth="1" style="46"/>
    <col min="13" max="13" width="18.7109375" customWidth="1" style="46"/>
    <col min="14" max="16384" width="9.140625" customWidth="1" style="46"/>
  </cols>
  <sheetData>
    <row r="1" ht="20.1" customHeight="1">
      <c r="A1" s="303" t="s">
        <v>0</v>
      </c>
      <c r="B1" s="304"/>
      <c r="C1" s="300" t="str">
        <f>IF(ISBLANK(INDIRECT("Cover!D3")),"",INDIRECT("Cover!D3"))</f>
        <v>*</v>
      </c>
      <c r="D1" s="300"/>
      <c r="E1" s="300"/>
      <c r="F1" s="300"/>
      <c r="G1" s="300"/>
      <c r="H1" s="300"/>
      <c r="I1" s="300"/>
      <c r="J1" s="236" t="s">
        <v>1</v>
      </c>
      <c r="K1" s="312" t="str">
        <f>IF(ISBLANK(INDIRECT("Cover!O2")),"",INDIRECT("Cover!O2"))</f>
        <v>*</v>
      </c>
      <c r="L1" s="312"/>
      <c r="M1" s="313"/>
    </row>
    <row r="2" ht="20.1" customHeight="1">
      <c r="A2" s="305" t="s">
        <v>2</v>
      </c>
      <c r="B2" s="306"/>
      <c r="C2" s="299" t="str">
        <f>IF(ISBLANK(INDIRECT("Cover!D4")),"",INDIRECT("Cover!D4"))</f>
        <v>*</v>
      </c>
      <c r="D2" s="299"/>
      <c r="E2" s="299"/>
      <c r="F2" s="299"/>
      <c r="G2" s="299"/>
      <c r="H2" s="299"/>
      <c r="I2" s="299"/>
      <c r="J2" s="237" t="s">
        <v>3</v>
      </c>
      <c r="K2" s="59">
        <v>2</v>
      </c>
      <c r="L2" s="33" t="s">
        <v>4</v>
      </c>
      <c r="M2" s="34" t="str">
        <f>IF(ISBLANK(INDIRECT("Cover!Q7")),"",INDIRECT("Cover!Q7"))</f>
      </c>
    </row>
    <row r="3" ht="20.1" customHeight="1">
      <c r="A3" s="49" t="s">
        <v>6</v>
      </c>
      <c r="B3" s="49" t="s">
        <v>15</v>
      </c>
      <c r="C3" s="49" t="s">
        <v>16</v>
      </c>
      <c r="D3" s="49" t="s">
        <v>17</v>
      </c>
      <c r="E3" s="50" t="s">
        <v>9</v>
      </c>
      <c r="F3" s="49" t="s">
        <v>18</v>
      </c>
      <c r="G3" s="296"/>
      <c r="H3" s="49" t="s">
        <v>6</v>
      </c>
      <c r="I3" s="49" t="s">
        <v>15</v>
      </c>
      <c r="J3" s="49" t="s">
        <v>16</v>
      </c>
      <c r="K3" s="49" t="s">
        <v>17</v>
      </c>
      <c r="L3" s="50" t="s">
        <v>9</v>
      </c>
      <c r="M3" s="49" t="s">
        <v>18</v>
      </c>
    </row>
    <row r="4" ht="20.1" customHeight="1">
      <c r="A4" s="98"/>
      <c r="B4" s="99"/>
      <c r="C4" s="100"/>
      <c r="D4" s="101"/>
      <c r="E4" s="102"/>
      <c r="F4" s="103" t="str">
        <f>IF(ISBLANK(D4),"",D4*E4)</f>
      </c>
      <c r="G4" s="297"/>
      <c r="H4" s="98"/>
      <c r="I4" s="99"/>
      <c r="J4" s="100"/>
      <c r="K4" s="101"/>
      <c r="L4" s="102"/>
      <c r="M4" s="103" t="str">
        <f>IF(ISBLANK(K4),"",K4*L4)</f>
      </c>
    </row>
    <row r="5" ht="20.1" customHeight="1">
      <c r="A5" s="26"/>
      <c r="B5" s="51"/>
      <c r="C5" s="52"/>
      <c r="D5" s="44"/>
      <c r="E5" s="53"/>
      <c r="F5" s="54" t="str">
        <f ref="F5:F24" t="shared" si="0">IF(ISBLANK(D5),"",D5*E5)</f>
      </c>
      <c r="G5" s="297"/>
      <c r="H5" s="26"/>
      <c r="I5" s="51"/>
      <c r="J5" s="52"/>
      <c r="K5" s="44"/>
      <c r="L5" s="53"/>
      <c r="M5" s="54" t="str">
        <f ref="M5:M24" t="shared" si="1">IF(ISBLANK(K5),"",K5*L5)</f>
      </c>
    </row>
    <row r="6" ht="20.1" customHeight="1">
      <c r="A6" s="26"/>
      <c r="B6" s="51"/>
      <c r="C6" s="52"/>
      <c r="D6" s="44"/>
      <c r="E6" s="53"/>
      <c r="F6" s="54" t="str">
        <f t="shared" si="0"/>
      </c>
      <c r="G6" s="297"/>
      <c r="H6" s="26"/>
      <c r="I6" s="51"/>
      <c r="J6" s="52"/>
      <c r="K6" s="44"/>
      <c r="L6" s="53"/>
      <c r="M6" s="54" t="str">
        <f t="shared" si="1"/>
      </c>
    </row>
    <row r="7" ht="20.1" customHeight="1">
      <c r="A7" s="26"/>
      <c r="B7" s="51"/>
      <c r="C7" s="52"/>
      <c r="D7" s="44"/>
      <c r="E7" s="53"/>
      <c r="F7" s="54" t="str">
        <f t="shared" si="0"/>
      </c>
      <c r="G7" s="297"/>
      <c r="H7" s="26"/>
      <c r="I7" s="51"/>
      <c r="J7" s="52"/>
      <c r="K7" s="44"/>
      <c r="L7" s="53"/>
      <c r="M7" s="54" t="str">
        <f t="shared" si="1"/>
      </c>
    </row>
    <row r="8" ht="20.1" customHeight="1">
      <c r="A8" s="26"/>
      <c r="B8" s="51"/>
      <c r="C8" s="52"/>
      <c r="D8" s="44"/>
      <c r="E8" s="53"/>
      <c r="F8" s="54" t="str">
        <f t="shared" si="0"/>
      </c>
      <c r="G8" s="297"/>
      <c r="H8" s="26"/>
      <c r="I8" s="51"/>
      <c r="J8" s="52"/>
      <c r="K8" s="44"/>
      <c r="L8" s="53"/>
      <c r="M8" s="54" t="str">
        <f t="shared" si="1"/>
      </c>
    </row>
    <row r="9" ht="20.1" customHeight="1">
      <c r="A9" s="26"/>
      <c r="B9" s="51"/>
      <c r="C9" s="52"/>
      <c r="D9" s="44"/>
      <c r="E9" s="53"/>
      <c r="F9" s="54" t="str">
        <f t="shared" si="0"/>
      </c>
      <c r="G9" s="297"/>
      <c r="H9" s="26"/>
      <c r="I9" s="51"/>
      <c r="J9" s="52"/>
      <c r="K9" s="44"/>
      <c r="L9" s="53"/>
      <c r="M9" s="54" t="str">
        <f t="shared" si="1"/>
      </c>
    </row>
    <row r="10" ht="20.1" customHeight="1">
      <c r="A10" s="26"/>
      <c r="B10" s="51"/>
      <c r="C10" s="52"/>
      <c r="D10" s="44"/>
      <c r="E10" s="53"/>
      <c r="F10" s="54" t="str">
        <f t="shared" si="0"/>
      </c>
      <c r="G10" s="297"/>
      <c r="H10" s="26"/>
      <c r="I10" s="51"/>
      <c r="J10" s="52"/>
      <c r="K10" s="44"/>
      <c r="L10" s="53"/>
      <c r="M10" s="54" t="str">
        <f t="shared" si="1"/>
      </c>
    </row>
    <row r="11" ht="20.1" customHeight="1">
      <c r="A11" s="26"/>
      <c r="B11" s="51"/>
      <c r="C11" s="52"/>
      <c r="D11" s="44"/>
      <c r="E11" s="53"/>
      <c r="F11" s="54" t="str">
        <f t="shared" si="0"/>
      </c>
      <c r="G11" s="297"/>
      <c r="H11" s="26"/>
      <c r="I11" s="51"/>
      <c r="J11" s="52"/>
      <c r="K11" s="44"/>
      <c r="L11" s="53"/>
      <c r="M11" s="54" t="str">
        <f t="shared" si="1"/>
      </c>
    </row>
    <row r="12" ht="20.1" customHeight="1">
      <c r="A12" s="26"/>
      <c r="B12" s="51"/>
      <c r="C12" s="52"/>
      <c r="D12" s="44"/>
      <c r="E12" s="53"/>
      <c r="F12" s="54" t="str">
        <f t="shared" si="0"/>
      </c>
      <c r="G12" s="297"/>
      <c r="H12" s="26"/>
      <c r="I12" s="51"/>
      <c r="J12" s="52"/>
      <c r="K12" s="44"/>
      <c r="L12" s="53"/>
      <c r="M12" s="54" t="str">
        <f t="shared" si="1"/>
      </c>
    </row>
    <row r="13" ht="20.1" customHeight="1">
      <c r="A13" s="26"/>
      <c r="B13" s="51"/>
      <c r="C13" s="52"/>
      <c r="D13" s="44"/>
      <c r="E13" s="53"/>
      <c r="F13" s="54" t="str">
        <f t="shared" si="0"/>
      </c>
      <c r="G13" s="297"/>
      <c r="H13" s="26"/>
      <c r="I13" s="51"/>
      <c r="J13" s="52"/>
      <c r="K13" s="44"/>
      <c r="L13" s="53"/>
      <c r="M13" s="54" t="str">
        <f t="shared" si="1"/>
      </c>
    </row>
    <row r="14" ht="20.1" customHeight="1">
      <c r="A14" s="26"/>
      <c r="B14" s="51"/>
      <c r="C14" s="52"/>
      <c r="D14" s="44"/>
      <c r="E14" s="53"/>
      <c r="F14" s="54" t="str">
        <f t="shared" si="0"/>
      </c>
      <c r="G14" s="297"/>
      <c r="H14" s="26"/>
      <c r="I14" s="51"/>
      <c r="J14" s="52"/>
      <c r="K14" s="44"/>
      <c r="L14" s="53"/>
      <c r="M14" s="54" t="str">
        <f t="shared" si="1"/>
      </c>
    </row>
    <row r="15" ht="20.1" customHeight="1">
      <c r="A15" s="26"/>
      <c r="B15" s="51"/>
      <c r="C15" s="52"/>
      <c r="D15" s="44"/>
      <c r="E15" s="53"/>
      <c r="F15" s="54" t="str">
        <f t="shared" si="0"/>
      </c>
      <c r="G15" s="297"/>
      <c r="H15" s="26"/>
      <c r="I15" s="51"/>
      <c r="J15" s="52"/>
      <c r="K15" s="44"/>
      <c r="L15" s="53"/>
      <c r="M15" s="54" t="str">
        <f t="shared" si="1"/>
      </c>
    </row>
    <row r="16" ht="20.1" customHeight="1">
      <c r="A16" s="26"/>
      <c r="B16" s="51"/>
      <c r="C16" s="52"/>
      <c r="D16" s="44"/>
      <c r="E16" s="53"/>
      <c r="F16" s="54" t="str">
        <f t="shared" si="0"/>
      </c>
      <c r="G16" s="297"/>
      <c r="H16" s="26"/>
      <c r="I16" s="51"/>
      <c r="J16" s="52"/>
      <c r="K16" s="44"/>
      <c r="L16" s="53"/>
      <c r="M16" s="54" t="str">
        <f t="shared" si="1"/>
      </c>
    </row>
    <row r="17" ht="20.1" customHeight="1">
      <c r="A17" s="26"/>
      <c r="B17" s="51"/>
      <c r="C17" s="52"/>
      <c r="D17" s="44"/>
      <c r="E17" s="53"/>
      <c r="F17" s="54" t="str">
        <f t="shared" si="0"/>
      </c>
      <c r="G17" s="297"/>
      <c r="H17" s="26"/>
      <c r="I17" s="51"/>
      <c r="J17" s="52"/>
      <c r="K17" s="44"/>
      <c r="L17" s="53"/>
      <c r="M17" s="54" t="str">
        <f t="shared" si="1"/>
      </c>
    </row>
    <row r="18" ht="20.1" customHeight="1">
      <c r="A18" s="26"/>
      <c r="B18" s="51"/>
      <c r="C18" s="52"/>
      <c r="D18" s="44"/>
      <c r="E18" s="53"/>
      <c r="F18" s="54" t="str">
        <f t="shared" si="0"/>
      </c>
      <c r="G18" s="297"/>
      <c r="H18" s="26"/>
      <c r="I18" s="51"/>
      <c r="J18" s="52"/>
      <c r="K18" s="44"/>
      <c r="L18" s="53"/>
      <c r="M18" s="54" t="str">
        <f t="shared" si="1"/>
      </c>
    </row>
    <row r="19" ht="20.1" customHeight="1">
      <c r="A19" s="26"/>
      <c r="B19" s="51"/>
      <c r="C19" s="52"/>
      <c r="D19" s="44"/>
      <c r="E19" s="53"/>
      <c r="F19" s="54" t="str">
        <f t="shared" si="0"/>
      </c>
      <c r="G19" s="297"/>
      <c r="H19" s="26"/>
      <c r="I19" s="51"/>
      <c r="J19" s="52"/>
      <c r="K19" s="44"/>
      <c r="L19" s="53"/>
      <c r="M19" s="54" t="str">
        <f t="shared" si="1"/>
      </c>
    </row>
    <row r="20" ht="20.1" customHeight="1">
      <c r="A20" s="26"/>
      <c r="B20" s="51"/>
      <c r="C20" s="52"/>
      <c r="D20" s="44"/>
      <c r="E20" s="53"/>
      <c r="F20" s="54" t="str">
        <f t="shared" si="0"/>
      </c>
      <c r="G20" s="297"/>
      <c r="H20" s="26"/>
      <c r="I20" s="51"/>
      <c r="J20" s="52"/>
      <c r="K20" s="44"/>
      <c r="L20" s="53"/>
      <c r="M20" s="54" t="str">
        <f t="shared" si="1"/>
      </c>
    </row>
    <row r="21" ht="20.1" customHeight="1">
      <c r="A21" s="26"/>
      <c r="B21" s="51"/>
      <c r="C21" s="52"/>
      <c r="D21" s="44"/>
      <c r="E21" s="53"/>
      <c r="F21" s="54" t="str">
        <f t="shared" si="0"/>
      </c>
      <c r="G21" s="297"/>
      <c r="H21" s="26"/>
      <c r="I21" s="51"/>
      <c r="J21" s="52"/>
      <c r="K21" s="44"/>
      <c r="L21" s="53"/>
      <c r="M21" s="54" t="str">
        <f t="shared" si="1"/>
      </c>
    </row>
    <row r="22" ht="20.1" customHeight="1">
      <c r="A22" s="26"/>
      <c r="B22" s="51"/>
      <c r="C22" s="52"/>
      <c r="D22" s="44"/>
      <c r="E22" s="53"/>
      <c r="F22" s="54" t="str">
        <f t="shared" si="0"/>
      </c>
      <c r="G22" s="297"/>
      <c r="H22" s="26"/>
      <c r="I22" s="51"/>
      <c r="J22" s="52"/>
      <c r="K22" s="44"/>
      <c r="L22" s="53"/>
      <c r="M22" s="54" t="str">
        <f t="shared" si="1"/>
      </c>
    </row>
    <row r="23" ht="20.1" customHeight="1">
      <c r="A23" s="26"/>
      <c r="B23" s="51"/>
      <c r="C23" s="52"/>
      <c r="D23" s="44"/>
      <c r="E23" s="53"/>
      <c r="F23" s="54" t="str">
        <f t="shared" si="0"/>
      </c>
      <c r="G23" s="297"/>
      <c r="H23" s="26"/>
      <c r="I23" s="51"/>
      <c r="J23" s="52"/>
      <c r="K23" s="44"/>
      <c r="L23" s="53"/>
      <c r="M23" s="54" t="str">
        <f t="shared" si="1"/>
      </c>
    </row>
    <row r="24" ht="20.1" customHeight="1">
      <c r="A24" s="104"/>
      <c r="B24" s="105"/>
      <c r="C24" s="106"/>
      <c r="D24" s="107"/>
      <c r="E24" s="108"/>
      <c r="F24" s="109" t="str">
        <f t="shared" si="0"/>
      </c>
      <c r="G24" s="297"/>
      <c r="H24" s="104"/>
      <c r="I24" s="105"/>
      <c r="J24" s="106"/>
      <c r="K24" s="107"/>
      <c r="L24" s="108"/>
      <c r="M24" s="109" t="str">
        <f t="shared" si="1"/>
      </c>
    </row>
    <row r="25" ht="20.1" customHeight="1">
      <c r="A25" s="307"/>
      <c r="B25" s="308"/>
      <c r="C25" s="309"/>
      <c r="D25" s="310" t="s">
        <v>14</v>
      </c>
      <c r="E25" s="311"/>
      <c r="F25" s="2">
        <f>ROUNDUP(SUM(F4:F24)*1.02,-1)</f>
        <v>0</v>
      </c>
      <c r="G25" s="297"/>
      <c r="H25" s="307"/>
      <c r="I25" s="308"/>
      <c r="J25" s="309"/>
      <c r="K25" s="310" t="s">
        <v>14</v>
      </c>
      <c r="L25" s="311"/>
      <c r="M25" s="2">
        <f>ROUNDUP(SUM(M4:M24)*1.02,-1)</f>
        <v>0</v>
      </c>
    </row>
    <row r="26" ht="20.1" customHeight="1">
      <c r="A26" s="98"/>
      <c r="B26" s="99"/>
      <c r="C26" s="100"/>
      <c r="D26" s="101"/>
      <c r="E26" s="102"/>
      <c r="F26" s="103" t="str">
        <f ref="F26:F46" t="shared" si="2">IF(ISBLANK(D26),"",D26*E26)</f>
      </c>
      <c r="G26" s="297"/>
      <c r="H26" s="98"/>
      <c r="I26" s="99"/>
      <c r="J26" s="100"/>
      <c r="K26" s="101"/>
      <c r="L26" s="102"/>
      <c r="M26" s="103" t="str">
        <f ref="M26:M46" t="shared" si="3">IF(ISBLANK(K26),"",K26*L26)</f>
      </c>
    </row>
    <row r="27" ht="20.1" customHeight="1">
      <c r="A27" s="26"/>
      <c r="B27" s="51"/>
      <c r="C27" s="52"/>
      <c r="D27" s="44"/>
      <c r="E27" s="53"/>
      <c r="F27" s="54" t="str">
        <f t="shared" si="2"/>
      </c>
      <c r="G27" s="297"/>
      <c r="H27" s="26"/>
      <c r="I27" s="51"/>
      <c r="J27" s="52"/>
      <c r="K27" s="44"/>
      <c r="L27" s="53"/>
      <c r="M27" s="54" t="str">
        <f t="shared" si="3"/>
      </c>
    </row>
    <row r="28" ht="20.1" customHeight="1">
      <c r="A28" s="26"/>
      <c r="B28" s="51"/>
      <c r="C28" s="52"/>
      <c r="D28" s="44"/>
      <c r="E28" s="53"/>
      <c r="F28" s="54" t="str">
        <f t="shared" si="2"/>
      </c>
      <c r="G28" s="297"/>
      <c r="H28" s="26"/>
      <c r="I28" s="51"/>
      <c r="J28" s="52"/>
      <c r="K28" s="44"/>
      <c r="L28" s="53"/>
      <c r="M28" s="54" t="str">
        <f t="shared" si="3"/>
      </c>
    </row>
    <row r="29" ht="20.1" customHeight="1">
      <c r="A29" s="26"/>
      <c r="B29" s="51"/>
      <c r="C29" s="52"/>
      <c r="D29" s="44"/>
      <c r="E29" s="53"/>
      <c r="F29" s="54" t="str">
        <f t="shared" si="2"/>
      </c>
      <c r="G29" s="297"/>
      <c r="H29" s="26"/>
      <c r="I29" s="51"/>
      <c r="J29" s="52"/>
      <c r="K29" s="44"/>
      <c r="L29" s="53"/>
      <c r="M29" s="54" t="str">
        <f t="shared" si="3"/>
      </c>
    </row>
    <row r="30" ht="20.1" customHeight="1">
      <c r="A30" s="26"/>
      <c r="B30" s="51"/>
      <c r="C30" s="52"/>
      <c r="D30" s="44"/>
      <c r="E30" s="53"/>
      <c r="F30" s="54" t="str">
        <f t="shared" si="2"/>
      </c>
      <c r="G30" s="297"/>
      <c r="H30" s="26"/>
      <c r="I30" s="51"/>
      <c r="J30" s="52"/>
      <c r="K30" s="44"/>
      <c r="L30" s="53"/>
      <c r="M30" s="54" t="str">
        <f t="shared" si="3"/>
      </c>
    </row>
    <row r="31" ht="20.1" customHeight="1">
      <c r="A31" s="26"/>
      <c r="B31" s="51"/>
      <c r="C31" s="52"/>
      <c r="D31" s="44"/>
      <c r="E31" s="53"/>
      <c r="F31" s="54" t="str">
        <f t="shared" si="2"/>
      </c>
      <c r="G31" s="297"/>
      <c r="H31" s="26"/>
      <c r="I31" s="51"/>
      <c r="J31" s="52"/>
      <c r="K31" s="44"/>
      <c r="L31" s="53"/>
      <c r="M31" s="54" t="str">
        <f t="shared" si="3"/>
      </c>
    </row>
    <row r="32" ht="20.1" customHeight="1">
      <c r="A32" s="26"/>
      <c r="B32" s="51"/>
      <c r="C32" s="52"/>
      <c r="D32" s="44"/>
      <c r="E32" s="53"/>
      <c r="F32" s="54" t="str">
        <f t="shared" si="2"/>
      </c>
      <c r="G32" s="297"/>
      <c r="H32" s="26"/>
      <c r="I32" s="51"/>
      <c r="J32" s="52"/>
      <c r="K32" s="44"/>
      <c r="L32" s="53"/>
      <c r="M32" s="54" t="str">
        <f t="shared" si="3"/>
      </c>
    </row>
    <row r="33" ht="20.1" customHeight="1">
      <c r="A33" s="26"/>
      <c r="B33" s="51"/>
      <c r="C33" s="52"/>
      <c r="D33" s="44"/>
      <c r="E33" s="53"/>
      <c r="F33" s="54" t="str">
        <f t="shared" si="2"/>
      </c>
      <c r="G33" s="297"/>
      <c r="H33" s="26"/>
      <c r="I33" s="51"/>
      <c r="J33" s="52"/>
      <c r="K33" s="44"/>
      <c r="L33" s="53"/>
      <c r="M33" s="54" t="str">
        <f t="shared" si="3"/>
      </c>
    </row>
    <row r="34" ht="20.1" customHeight="1">
      <c r="A34" s="26"/>
      <c r="B34" s="51"/>
      <c r="C34" s="52"/>
      <c r="D34" s="44"/>
      <c r="E34" s="53"/>
      <c r="F34" s="54" t="str">
        <f t="shared" si="2"/>
      </c>
      <c r="G34" s="297"/>
      <c r="H34" s="26"/>
      <c r="I34" s="51"/>
      <c r="J34" s="52"/>
      <c r="K34" s="44"/>
      <c r="L34" s="53"/>
      <c r="M34" s="54" t="str">
        <f t="shared" si="3"/>
      </c>
    </row>
    <row r="35" ht="20.1" customHeight="1">
      <c r="A35" s="26"/>
      <c r="B35" s="51"/>
      <c r="C35" s="52"/>
      <c r="D35" s="44"/>
      <c r="E35" s="53"/>
      <c r="F35" s="54" t="str">
        <f t="shared" si="2"/>
      </c>
      <c r="G35" s="297"/>
      <c r="H35" s="26"/>
      <c r="I35" s="51"/>
      <c r="J35" s="52"/>
      <c r="K35" s="44"/>
      <c r="L35" s="53"/>
      <c r="M35" s="54" t="str">
        <f t="shared" si="3"/>
      </c>
    </row>
    <row r="36" ht="20.1" customHeight="1">
      <c r="A36" s="26"/>
      <c r="B36" s="51"/>
      <c r="C36" s="52"/>
      <c r="D36" s="44"/>
      <c r="E36" s="53"/>
      <c r="F36" s="54" t="str">
        <f t="shared" si="2"/>
      </c>
      <c r="G36" s="297"/>
      <c r="H36" s="26"/>
      <c r="I36" s="51"/>
      <c r="J36" s="52"/>
      <c r="K36" s="44"/>
      <c r="L36" s="53"/>
      <c r="M36" s="54" t="str">
        <f t="shared" si="3"/>
      </c>
    </row>
    <row r="37" ht="20.1" customHeight="1">
      <c r="A37" s="26"/>
      <c r="B37" s="51"/>
      <c r="C37" s="52"/>
      <c r="D37" s="44"/>
      <c r="E37" s="53"/>
      <c r="F37" s="54" t="str">
        <f t="shared" si="2"/>
      </c>
      <c r="G37" s="297"/>
      <c r="H37" s="26"/>
      <c r="I37" s="51"/>
      <c r="J37" s="52"/>
      <c r="K37" s="44"/>
      <c r="L37" s="53"/>
      <c r="M37" s="54" t="str">
        <f t="shared" si="3"/>
      </c>
    </row>
    <row r="38" ht="20.1" customHeight="1">
      <c r="A38" s="26"/>
      <c r="B38" s="51"/>
      <c r="C38" s="52"/>
      <c r="D38" s="44"/>
      <c r="E38" s="53"/>
      <c r="F38" s="54" t="str">
        <f t="shared" si="2"/>
      </c>
      <c r="G38" s="297"/>
      <c r="H38" s="26"/>
      <c r="I38" s="51"/>
      <c r="J38" s="52"/>
      <c r="K38" s="44"/>
      <c r="L38" s="53"/>
      <c r="M38" s="54" t="str">
        <f t="shared" si="3"/>
      </c>
    </row>
    <row r="39" ht="20.1" customHeight="1">
      <c r="A39" s="26"/>
      <c r="B39" s="51"/>
      <c r="C39" s="52"/>
      <c r="D39" s="44"/>
      <c r="E39" s="53"/>
      <c r="F39" s="54" t="str">
        <f t="shared" si="2"/>
      </c>
      <c r="G39" s="297"/>
      <c r="H39" s="26"/>
      <c r="I39" s="51"/>
      <c r="J39" s="52"/>
      <c r="K39" s="44"/>
      <c r="L39" s="53"/>
      <c r="M39" s="54" t="str">
        <f t="shared" si="3"/>
      </c>
    </row>
    <row r="40" ht="20.1" customHeight="1">
      <c r="A40" s="26"/>
      <c r="B40" s="51"/>
      <c r="C40" s="52"/>
      <c r="D40" s="44"/>
      <c r="E40" s="53"/>
      <c r="F40" s="54" t="str">
        <f t="shared" si="2"/>
      </c>
      <c r="G40" s="297"/>
      <c r="H40" s="26"/>
      <c r="I40" s="51"/>
      <c r="J40" s="52"/>
      <c r="K40" s="44"/>
      <c r="L40" s="53"/>
      <c r="M40" s="54" t="str">
        <f t="shared" si="3"/>
      </c>
    </row>
    <row r="41" ht="20.1" customHeight="1">
      <c r="A41" s="26"/>
      <c r="B41" s="51"/>
      <c r="C41" s="52"/>
      <c r="D41" s="44"/>
      <c r="E41" s="53"/>
      <c r="F41" s="54" t="str">
        <f t="shared" si="2"/>
      </c>
      <c r="G41" s="297"/>
      <c r="H41" s="26"/>
      <c r="I41" s="51"/>
      <c r="J41" s="52"/>
      <c r="K41" s="44"/>
      <c r="L41" s="53"/>
      <c r="M41" s="54" t="str">
        <f t="shared" si="3"/>
      </c>
    </row>
    <row r="42" ht="20.1" customHeight="1">
      <c r="A42" s="26"/>
      <c r="B42" s="51"/>
      <c r="C42" s="52"/>
      <c r="D42" s="44"/>
      <c r="E42" s="53"/>
      <c r="F42" s="54" t="str">
        <f t="shared" si="2"/>
      </c>
      <c r="G42" s="297"/>
      <c r="H42" s="26"/>
      <c r="I42" s="51"/>
      <c r="J42" s="52"/>
      <c r="K42" s="44"/>
      <c r="L42" s="53"/>
      <c r="M42" s="54" t="str">
        <f t="shared" si="3"/>
      </c>
    </row>
    <row r="43" ht="20.1" customHeight="1">
      <c r="A43" s="26"/>
      <c r="B43" s="51"/>
      <c r="C43" s="52"/>
      <c r="D43" s="44"/>
      <c r="E43" s="53"/>
      <c r="F43" s="54" t="str">
        <f t="shared" si="2"/>
      </c>
      <c r="G43" s="297"/>
      <c r="H43" s="26"/>
      <c r="I43" s="51"/>
      <c r="J43" s="52"/>
      <c r="K43" s="44"/>
      <c r="L43" s="53"/>
      <c r="M43" s="54" t="str">
        <f t="shared" si="3"/>
      </c>
    </row>
    <row r="44" ht="20.1" customHeight="1">
      <c r="A44" s="26"/>
      <c r="B44" s="51"/>
      <c r="C44" s="52"/>
      <c r="D44" s="44"/>
      <c r="E44" s="53"/>
      <c r="F44" s="54" t="str">
        <f t="shared" si="2"/>
      </c>
      <c r="G44" s="297"/>
      <c r="H44" s="26"/>
      <c r="I44" s="51"/>
      <c r="J44" s="52"/>
      <c r="K44" s="44"/>
      <c r="L44" s="53"/>
      <c r="M44" s="54" t="str">
        <f t="shared" si="3"/>
      </c>
    </row>
    <row r="45" ht="20.1" customHeight="1">
      <c r="A45" s="26"/>
      <c r="B45" s="51"/>
      <c r="C45" s="52"/>
      <c r="D45" s="44"/>
      <c r="E45" s="53"/>
      <c r="F45" s="54" t="str">
        <f t="shared" si="2"/>
      </c>
      <c r="G45" s="297"/>
      <c r="H45" s="26"/>
      <c r="I45" s="51"/>
      <c r="J45" s="52"/>
      <c r="K45" s="44"/>
      <c r="L45" s="53"/>
      <c r="M45" s="54" t="str">
        <f t="shared" si="3"/>
      </c>
    </row>
    <row r="46" ht="20.1" customHeight="1">
      <c r="A46" s="104"/>
      <c r="B46" s="105"/>
      <c r="C46" s="106"/>
      <c r="D46" s="107"/>
      <c r="E46" s="108"/>
      <c r="F46" s="109" t="str">
        <f t="shared" si="2"/>
      </c>
      <c r="G46" s="297"/>
      <c r="H46" s="104"/>
      <c r="I46" s="105"/>
      <c r="J46" s="106"/>
      <c r="K46" s="107"/>
      <c r="L46" s="108"/>
      <c r="M46" s="109" t="str">
        <f t="shared" si="3"/>
      </c>
    </row>
    <row r="47" ht="20.1" customHeight="1">
      <c r="A47" s="307"/>
      <c r="B47" s="308"/>
      <c r="C47" s="309"/>
      <c r="D47" s="310" t="s">
        <v>14</v>
      </c>
      <c r="E47" s="311"/>
      <c r="F47" s="2">
        <f>ROUNDUP(SUM(F26:F46)*1.02,-1)</f>
        <v>0</v>
      </c>
      <c r="G47" s="297"/>
      <c r="H47" s="307"/>
      <c r="I47" s="308"/>
      <c r="J47" s="309"/>
      <c r="K47" s="310" t="s">
        <v>14</v>
      </c>
      <c r="L47" s="311"/>
      <c r="M47" s="2">
        <f>ROUNDUP(SUM(M26:M46)*1.02,-1)</f>
        <v>0</v>
      </c>
    </row>
    <row r="48" ht="9.95" customHeight="1">
      <c r="A48" s="293"/>
      <c r="B48" s="294"/>
      <c r="C48" s="294"/>
      <c r="D48" s="294"/>
      <c r="E48" s="294"/>
      <c r="F48" s="295"/>
      <c r="G48" s="297"/>
      <c r="H48" s="293"/>
      <c r="I48" s="294"/>
      <c r="J48" s="294"/>
      <c r="K48" s="294"/>
      <c r="L48" s="294"/>
      <c r="M48" s="295"/>
    </row>
    <row r="49" ht="20.1" customHeight="1">
      <c r="A49" s="301" t="s">
        <v>19</v>
      </c>
      <c r="B49" s="49" t="s">
        <v>15</v>
      </c>
      <c r="C49" s="3"/>
      <c r="D49" s="49" t="s">
        <v>20</v>
      </c>
      <c r="E49" s="50" t="s">
        <v>9</v>
      </c>
      <c r="F49" s="49" t="s">
        <v>18</v>
      </c>
      <c r="G49" s="297"/>
      <c r="H49" s="301" t="s">
        <v>21</v>
      </c>
      <c r="I49" s="49" t="s">
        <v>15</v>
      </c>
      <c r="J49" s="3"/>
      <c r="K49" s="49" t="s">
        <v>20</v>
      </c>
      <c r="L49" s="50" t="s">
        <v>9</v>
      </c>
      <c r="M49" s="49" t="s">
        <v>18</v>
      </c>
    </row>
    <row r="50" ht="20.1" customHeight="1">
      <c r="A50" s="302"/>
      <c r="B50" s="55"/>
      <c r="C50" s="4"/>
      <c r="D50" s="56"/>
      <c r="E50" s="57"/>
      <c r="F50" s="58" t="str">
        <f>IF(ISBLANK(D50),"",ROUNDUP((D50*E50)*0.5*1.02,-1))</f>
      </c>
      <c r="G50" s="298"/>
      <c r="H50" s="302"/>
      <c r="I50" s="55"/>
      <c r="J50" s="4"/>
      <c r="K50" s="56"/>
      <c r="L50" s="57"/>
      <c r="M50" s="58" t="str">
        <f>IF(ISBLANK(K50),"",ROUNDUP((K50*L50)*0.5*1.02,-1))</f>
      </c>
    </row>
  </sheetData>
  <mergeCells>
    <mergeCell ref="D25:E25"/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  <mergeCell ref="A25:C25"/>
    <mergeCell ref="A47:C47"/>
    <mergeCell ref="D47:E47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O11" sqref="O11"/>
    </sheetView>
  </sheetViews>
  <sheetFormatPr defaultRowHeight="15" x14ac:dyDescent="0.2"/>
  <cols>
    <col min="1" max="1" width="10.7109375" customWidth="1" style="9"/>
    <col min="2" max="2" width="10.7109375" customWidth="1" style="9"/>
    <col min="3" max="3" width="10.7109375" customWidth="1" style="9"/>
    <col min="4" max="4" width="5.7109375" customWidth="1" style="9"/>
    <col min="5" max="5" width="8.7109375" customWidth="1" style="9"/>
    <col min="6" max="6" width="5.7109375" customWidth="1" style="9"/>
    <col min="7" max="7" width="8.7109375" customWidth="1" style="9"/>
    <col min="8" max="8" width="14.7109375" customWidth="1" style="19"/>
    <col min="9" max="9" width="3.28515625" customWidth="1" style="19"/>
    <col min="10" max="10" width="10.7109375" customWidth="1" style="9"/>
    <col min="11" max="11" width="9.7109375" customWidth="1" style="9"/>
    <col min="12" max="12" width="9.7109375" customWidth="1" style="9"/>
    <col min="13" max="13" width="5.7109375" customWidth="1" style="9"/>
    <col min="14" max="14" width="8.7109375" customWidth="1" style="9"/>
    <col min="15" max="15" width="5.7109375" customWidth="1" style="9"/>
    <col min="16" max="16" width="8.7109375" customWidth="1" style="9"/>
    <col min="17" max="17" width="14.7109375" customWidth="1" style="9"/>
    <col min="18" max="18" width="4.42578125" customWidth="1" style="9"/>
    <col min="19" max="19" width="6.7109375" customWidth="1" style="17"/>
    <col min="20" max="20" width="8.28515625" customWidth="1" style="17"/>
    <col min="21" max="21" width="6.7109375" customWidth="1" style="9"/>
    <col min="22" max="22" width="6.7109375" customWidth="1" style="17"/>
    <col min="23" max="23" width="8.28515625" customWidth="1" style="17"/>
    <col min="24" max="24" width="6.7109375" customWidth="1" style="9"/>
    <col min="25" max="16384" width="9.140625" customWidth="1" style="9"/>
  </cols>
  <sheetData>
    <row r="1" ht="20.1" customHeight="1">
      <c r="A1" s="244" t="s">
        <v>0</v>
      </c>
      <c r="B1" s="245"/>
      <c r="C1" s="274" t="str">
        <f>IF(ISBLANK(INDIRECT("Cover!D3")),"",INDIRECT("Cover!D3"))</f>
        <v>*</v>
      </c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3" t="s">
        <v>1</v>
      </c>
      <c r="O1" s="256" t="str">
        <f>IF(ISBLANK(INDIRECT("Cover!O2")),"",INDIRECT("Cover!O2"))</f>
        <v>*</v>
      </c>
      <c r="P1" s="256"/>
      <c r="Q1" s="257"/>
      <c r="S1" s="331"/>
      <c r="T1" s="332"/>
      <c r="U1" s="332"/>
      <c r="V1" s="332"/>
      <c r="W1" s="332"/>
      <c r="X1" s="332"/>
    </row>
    <row r="2" ht="20.1" customHeight="1">
      <c r="A2" s="246" t="s">
        <v>2</v>
      </c>
      <c r="B2" s="247"/>
      <c r="C2" s="325" t="str">
        <f>IF(ISBLANK(INDIRECT("Cover!D4")),"",INDIRECT("Cover!D4"))</f>
        <v>*</v>
      </c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22" t="s">
        <v>3</v>
      </c>
      <c r="O2" s="59">
        <v>3</v>
      </c>
      <c r="P2" s="33" t="s">
        <v>4</v>
      </c>
      <c r="Q2" s="34" t="str">
        <f>IF(ISBLANK(INDIRECT("Cover!Q7")),"",INDIRECT("Cover!Q7"))</f>
      </c>
      <c r="S2" s="333" t="s">
        <v>5</v>
      </c>
      <c r="T2" s="334"/>
      <c r="U2" s="334"/>
      <c r="V2" s="334"/>
      <c r="W2" s="334"/>
      <c r="X2" s="335"/>
    </row>
    <row r="3" ht="20.1" customHeight="1">
      <c r="A3" s="35" t="s">
        <v>6</v>
      </c>
      <c r="B3" s="329" t="s">
        <v>7</v>
      </c>
      <c r="C3" s="330"/>
      <c r="D3" s="35"/>
      <c r="E3" s="329" t="s">
        <v>8</v>
      </c>
      <c r="F3" s="330"/>
      <c r="G3" s="35" t="s">
        <v>9</v>
      </c>
      <c r="H3" s="35" t="s">
        <v>10</v>
      </c>
      <c r="I3" s="326"/>
      <c r="J3" s="35" t="s">
        <v>6</v>
      </c>
      <c r="K3" s="329" t="s">
        <v>7</v>
      </c>
      <c r="L3" s="330"/>
      <c r="M3" s="35"/>
      <c r="N3" s="329" t="s">
        <v>8</v>
      </c>
      <c r="O3" s="330"/>
      <c r="P3" s="35" t="s">
        <v>9</v>
      </c>
      <c r="Q3" s="35" t="s">
        <v>10</v>
      </c>
      <c r="S3" s="204" t="s">
        <v>11</v>
      </c>
      <c r="T3" s="205" t="s">
        <v>12</v>
      </c>
      <c r="U3" s="206" t="s">
        <v>13</v>
      </c>
      <c r="V3" s="207" t="s">
        <v>11</v>
      </c>
      <c r="W3" s="205" t="s">
        <v>12</v>
      </c>
      <c r="X3" s="208" t="s">
        <v>13</v>
      </c>
    </row>
    <row r="4" ht="20.1" customHeight="1">
      <c r="A4" s="111"/>
      <c r="B4" s="318"/>
      <c r="C4" s="319"/>
      <c r="D4" s="112"/>
      <c r="E4" s="85"/>
      <c r="F4" s="113"/>
      <c r="G4" s="114"/>
      <c r="H4" s="115" t="str">
        <f>IF(ISBLANK(E4),"",IF(D4="X",((E4+(F4/12))*G4)/100*0.5,((E4+(F4/12))*G4)/100))</f>
      </c>
      <c r="I4" s="327"/>
      <c r="J4" s="111"/>
      <c r="K4" s="318"/>
      <c r="L4" s="319"/>
      <c r="M4" s="112"/>
      <c r="N4" s="85"/>
      <c r="O4" s="113"/>
      <c r="P4" s="114"/>
      <c r="Q4" s="115" t="str">
        <f>IF(ISBLANK(N4),"",IF(M4="X",((N4+(O4/12))*P4)/100*0.5,((N4+(O4/12))*P4)/100))</f>
      </c>
      <c r="S4" s="181"/>
      <c r="T4" s="202"/>
      <c r="U4" s="182"/>
      <c r="V4" s="183"/>
      <c r="W4" s="202"/>
      <c r="X4" s="184"/>
    </row>
    <row r="5" ht="20.1" customHeight="1">
      <c r="A5" s="40"/>
      <c r="B5" s="314"/>
      <c r="C5" s="315"/>
      <c r="D5" s="41"/>
      <c r="E5" s="42"/>
      <c r="F5" s="43"/>
      <c r="G5" s="110"/>
      <c r="H5" s="45" t="str">
        <f ref="H5:H27" t="shared" si="0">IF(ISBLANK(E5),"",IF(D5="X",((E5+(F5/12))*G5)/100*0.5,((E5+(F5/12))*G5)/100))</f>
      </c>
      <c r="I5" s="327"/>
      <c r="J5" s="40"/>
      <c r="K5" s="314"/>
      <c r="L5" s="315"/>
      <c r="M5" s="41"/>
      <c r="N5" s="42"/>
      <c r="O5" s="43"/>
      <c r="P5" s="110"/>
      <c r="Q5" s="45" t="str">
        <f ref="Q5:Q27" t="shared" si="1">IF(ISBLANK(N5),"",IF(M5="X",((N5+(O5/12))*P5)/100*0.5,((N5+(O5/12))*P5)/100))</f>
      </c>
      <c r="S5" s="185">
        <v>1</v>
      </c>
      <c r="T5" s="180">
        <v>2</v>
      </c>
      <c r="U5" s="186">
        <f>T5/100+1</f>
        <v>1.02</v>
      </c>
      <c r="V5" s="187">
        <v>2</v>
      </c>
      <c r="W5" s="180">
        <v>2</v>
      </c>
      <c r="X5" s="188">
        <f>W5/100+1</f>
        <v>1.02</v>
      </c>
    </row>
    <row r="6" ht="20.1" customHeight="1">
      <c r="A6" s="40"/>
      <c r="B6" s="314"/>
      <c r="C6" s="315"/>
      <c r="D6" s="41"/>
      <c r="E6" s="42"/>
      <c r="F6" s="43"/>
      <c r="G6" s="110"/>
      <c r="H6" s="45" t="str">
        <f t="shared" si="0"/>
      </c>
      <c r="I6" s="327"/>
      <c r="J6" s="40"/>
      <c r="K6" s="314"/>
      <c r="L6" s="315"/>
      <c r="M6" s="41"/>
      <c r="N6" s="42"/>
      <c r="O6" s="43"/>
      <c r="P6" s="110"/>
      <c r="Q6" s="45" t="str">
        <f t="shared" si="1"/>
      </c>
      <c r="S6" s="189"/>
      <c r="T6" s="190"/>
      <c r="U6" s="190"/>
      <c r="V6" s="191"/>
      <c r="W6" s="190"/>
      <c r="X6" s="192"/>
    </row>
    <row r="7" ht="20.1" customHeight="1">
      <c r="A7" s="40"/>
      <c r="B7" s="314"/>
      <c r="C7" s="315"/>
      <c r="D7" s="41"/>
      <c r="E7" s="42"/>
      <c r="F7" s="43"/>
      <c r="G7" s="110"/>
      <c r="H7" s="45" t="str">
        <f t="shared" si="0"/>
      </c>
      <c r="I7" s="327"/>
      <c r="J7" s="40"/>
      <c r="K7" s="314"/>
      <c r="L7" s="315"/>
      <c r="M7" s="41"/>
      <c r="N7" s="42"/>
      <c r="O7" s="43"/>
      <c r="P7" s="110"/>
      <c r="Q7" s="45" t="str">
        <f t="shared" si="1"/>
      </c>
      <c r="S7" s="193"/>
      <c r="T7" s="194"/>
      <c r="U7" s="195"/>
      <c r="V7" s="196"/>
      <c r="W7" s="194"/>
      <c r="X7" s="197"/>
    </row>
    <row r="8" ht="20.1" customHeight="1">
      <c r="A8" s="40"/>
      <c r="B8" s="314"/>
      <c r="C8" s="315"/>
      <c r="D8" s="41"/>
      <c r="E8" s="42"/>
      <c r="F8" s="43"/>
      <c r="G8" s="110"/>
      <c r="H8" s="45" t="str">
        <f t="shared" si="0"/>
      </c>
      <c r="I8" s="327"/>
      <c r="J8" s="40"/>
      <c r="K8" s="314"/>
      <c r="L8" s="315"/>
      <c r="M8" s="41"/>
      <c r="N8" s="42"/>
      <c r="O8" s="43"/>
      <c r="P8" s="110"/>
      <c r="Q8" s="45" t="str">
        <f t="shared" si="1"/>
      </c>
      <c r="S8" s="185">
        <v>3</v>
      </c>
      <c r="T8" s="180">
        <v>2</v>
      </c>
      <c r="U8" s="186">
        <f>T8/100+1</f>
        <v>1.02</v>
      </c>
      <c r="V8" s="187">
        <v>4</v>
      </c>
      <c r="W8" s="180">
        <v>2</v>
      </c>
      <c r="X8" s="188">
        <f>W8/100+1</f>
        <v>1.02</v>
      </c>
    </row>
    <row r="9" ht="20.1" customHeight="1">
      <c r="A9" s="40"/>
      <c r="B9" s="314"/>
      <c r="C9" s="315"/>
      <c r="D9" s="41"/>
      <c r="E9" s="42"/>
      <c r="F9" s="43"/>
      <c r="G9" s="110"/>
      <c r="H9" s="45" t="str">
        <f t="shared" si="0"/>
      </c>
      <c r="I9" s="327"/>
      <c r="J9" s="40"/>
      <c r="K9" s="314"/>
      <c r="L9" s="315"/>
      <c r="M9" s="41"/>
      <c r="N9" s="42"/>
      <c r="O9" s="43"/>
      <c r="P9" s="110"/>
      <c r="Q9" s="45" t="str">
        <f t="shared" si="1"/>
      </c>
      <c r="S9" s="198"/>
      <c r="T9" s="203"/>
      <c r="U9" s="199"/>
      <c r="V9" s="200"/>
      <c r="W9" s="203"/>
      <c r="X9" s="201"/>
    </row>
    <row r="10" ht="20.1" customHeight="1">
      <c r="A10" s="40"/>
      <c r="B10" s="314"/>
      <c r="C10" s="315"/>
      <c r="D10" s="41"/>
      <c r="E10" s="42"/>
      <c r="F10" s="43"/>
      <c r="G10" s="110"/>
      <c r="H10" s="45" t="str">
        <f t="shared" si="0"/>
      </c>
      <c r="I10" s="327"/>
      <c r="J10" s="40"/>
      <c r="K10" s="314"/>
      <c r="L10" s="315"/>
      <c r="M10" s="41"/>
      <c r="N10" s="42"/>
      <c r="O10" s="43"/>
      <c r="P10" s="110"/>
      <c r="Q10" s="45" t="str">
        <f t="shared" si="1"/>
      </c>
    </row>
    <row r="11" ht="20.1" customHeight="1">
      <c r="A11" s="40"/>
      <c r="B11" s="314"/>
      <c r="C11" s="315"/>
      <c r="D11" s="41"/>
      <c r="E11" s="42"/>
      <c r="F11" s="43"/>
      <c r="G11" s="110"/>
      <c r="H11" s="45" t="str">
        <f t="shared" si="0"/>
      </c>
      <c r="I11" s="327"/>
      <c r="J11" s="40"/>
      <c r="K11" s="314"/>
      <c r="L11" s="315"/>
      <c r="M11" s="41"/>
      <c r="N11" s="42"/>
      <c r="O11" s="43"/>
      <c r="P11" s="110"/>
      <c r="Q11" s="45" t="str">
        <f t="shared" si="1"/>
      </c>
    </row>
    <row r="12" ht="20.1" customHeight="1">
      <c r="A12" s="40"/>
      <c r="B12" s="314"/>
      <c r="C12" s="315"/>
      <c r="D12" s="41"/>
      <c r="E12" s="42"/>
      <c r="F12" s="43"/>
      <c r="G12" s="110"/>
      <c r="H12" s="45" t="str">
        <f t="shared" si="0"/>
      </c>
      <c r="I12" s="327"/>
      <c r="J12" s="40"/>
      <c r="K12" s="314"/>
      <c r="L12" s="315"/>
      <c r="M12" s="41"/>
      <c r="N12" s="42"/>
      <c r="O12" s="43"/>
      <c r="P12" s="110"/>
      <c r="Q12" s="45" t="str">
        <f t="shared" si="1"/>
      </c>
    </row>
    <row r="13" ht="20.1" customHeight="1">
      <c r="A13" s="40"/>
      <c r="B13" s="314"/>
      <c r="C13" s="315"/>
      <c r="D13" s="41"/>
      <c r="E13" s="42"/>
      <c r="F13" s="43"/>
      <c r="G13" s="110"/>
      <c r="H13" s="45" t="str">
        <f t="shared" si="0"/>
      </c>
      <c r="I13" s="327"/>
      <c r="J13" s="40"/>
      <c r="K13" s="314"/>
      <c r="L13" s="315"/>
      <c r="M13" s="41"/>
      <c r="N13" s="42"/>
      <c r="O13" s="43"/>
      <c r="P13" s="110"/>
      <c r="Q13" s="45" t="str">
        <f t="shared" si="1"/>
      </c>
    </row>
    <row r="14" ht="20.1" customHeight="1">
      <c r="A14" s="40"/>
      <c r="B14" s="314"/>
      <c r="C14" s="315"/>
      <c r="D14" s="41"/>
      <c r="E14" s="42"/>
      <c r="F14" s="43"/>
      <c r="G14" s="110"/>
      <c r="H14" s="45" t="str">
        <f t="shared" si="0"/>
      </c>
      <c r="I14" s="327"/>
      <c r="J14" s="40"/>
      <c r="K14" s="314"/>
      <c r="L14" s="315"/>
      <c r="M14" s="41"/>
      <c r="N14" s="42"/>
      <c r="O14" s="43"/>
      <c r="P14" s="110"/>
      <c r="Q14" s="45" t="str">
        <f t="shared" si="1"/>
      </c>
    </row>
    <row r="15" ht="20.1" customHeight="1">
      <c r="A15" s="40"/>
      <c r="B15" s="314"/>
      <c r="C15" s="315"/>
      <c r="D15" s="41"/>
      <c r="E15" s="42"/>
      <c r="F15" s="43"/>
      <c r="G15" s="110"/>
      <c r="H15" s="45" t="str">
        <f t="shared" si="0"/>
      </c>
      <c r="I15" s="327"/>
      <c r="J15" s="40"/>
      <c r="K15" s="314"/>
      <c r="L15" s="315"/>
      <c r="M15" s="41"/>
      <c r="N15" s="42"/>
      <c r="O15" s="43"/>
      <c r="P15" s="110"/>
      <c r="Q15" s="45" t="str">
        <f t="shared" si="1"/>
      </c>
    </row>
    <row r="16" ht="20.1" customHeight="1">
      <c r="A16" s="40"/>
      <c r="B16" s="314"/>
      <c r="C16" s="315"/>
      <c r="D16" s="41"/>
      <c r="E16" s="42"/>
      <c r="F16" s="43"/>
      <c r="G16" s="110"/>
      <c r="H16" s="45" t="str">
        <f t="shared" si="0"/>
      </c>
      <c r="I16" s="327"/>
      <c r="J16" s="40"/>
      <c r="K16" s="314"/>
      <c r="L16" s="315"/>
      <c r="M16" s="41"/>
      <c r="N16" s="42"/>
      <c r="O16" s="43"/>
      <c r="P16" s="110"/>
      <c r="Q16" s="45" t="str">
        <f t="shared" si="1"/>
      </c>
    </row>
    <row r="17" ht="20.1" customHeight="1">
      <c r="A17" s="40"/>
      <c r="B17" s="314"/>
      <c r="C17" s="315"/>
      <c r="D17" s="41"/>
      <c r="E17" s="42"/>
      <c r="F17" s="43"/>
      <c r="G17" s="110"/>
      <c r="H17" s="45" t="str">
        <f ref="H17:H24" t="shared" si="2">IF(ISBLANK(E17),"",IF(D17="X",((E17+(F17/12))*G17)/100*0.5,((E17+(F17/12))*G17)/100))</f>
      </c>
      <c r="I17" s="327"/>
      <c r="J17" s="40"/>
      <c r="K17" s="314"/>
      <c r="L17" s="315"/>
      <c r="M17" s="41"/>
      <c r="N17" s="42"/>
      <c r="O17" s="43"/>
      <c r="P17" s="110"/>
      <c r="Q17" s="45" t="str">
        <f ref="Q17:Q24" t="shared" si="3">IF(ISBLANK(N17),"",IF(M17="X",((N17+(O17/12))*P17)/100*0.5,((N17+(O17/12))*P17)/100))</f>
      </c>
    </row>
    <row r="18" ht="20.1" customHeight="1">
      <c r="A18" s="40"/>
      <c r="B18" s="314"/>
      <c r="C18" s="315"/>
      <c r="D18" s="41"/>
      <c r="E18" s="42"/>
      <c r="F18" s="43"/>
      <c r="G18" s="110"/>
      <c r="H18" s="45" t="str">
        <f t="shared" si="2"/>
      </c>
      <c r="I18" s="327"/>
      <c r="J18" s="40"/>
      <c r="K18" s="314"/>
      <c r="L18" s="315"/>
      <c r="M18" s="41"/>
      <c r="N18" s="42"/>
      <c r="O18" s="43"/>
      <c r="P18" s="110"/>
      <c r="Q18" s="45" t="str">
        <f t="shared" si="3"/>
      </c>
    </row>
    <row r="19" ht="20.1" customHeight="1">
      <c r="A19" s="40"/>
      <c r="B19" s="314"/>
      <c r="C19" s="315"/>
      <c r="D19" s="41"/>
      <c r="E19" s="42"/>
      <c r="F19" s="43"/>
      <c r="G19" s="110"/>
      <c r="H19" s="45" t="str">
        <f t="shared" si="2"/>
      </c>
      <c r="I19" s="327"/>
      <c r="J19" s="40"/>
      <c r="K19" s="314"/>
      <c r="L19" s="315"/>
      <c r="M19" s="41"/>
      <c r="N19" s="42"/>
      <c r="O19" s="43"/>
      <c r="P19" s="110"/>
      <c r="Q19" s="45" t="str">
        <f t="shared" si="3"/>
      </c>
    </row>
    <row r="20" ht="20.1" customHeight="1">
      <c r="A20" s="40"/>
      <c r="B20" s="314"/>
      <c r="C20" s="315"/>
      <c r="D20" s="41"/>
      <c r="E20" s="42"/>
      <c r="F20" s="43"/>
      <c r="G20" s="110"/>
      <c r="H20" s="45" t="str">
        <f t="shared" si="2"/>
      </c>
      <c r="I20" s="327"/>
      <c r="J20" s="40"/>
      <c r="K20" s="314"/>
      <c r="L20" s="315"/>
      <c r="M20" s="41"/>
      <c r="N20" s="42"/>
      <c r="O20" s="43"/>
      <c r="P20" s="110"/>
      <c r="Q20" s="45" t="str">
        <f t="shared" si="3"/>
      </c>
    </row>
    <row r="21" ht="20.1" customHeight="1">
      <c r="A21" s="40"/>
      <c r="B21" s="314"/>
      <c r="C21" s="315"/>
      <c r="D21" s="41"/>
      <c r="E21" s="42"/>
      <c r="F21" s="43"/>
      <c r="G21" s="110"/>
      <c r="H21" s="45" t="str">
        <f t="shared" si="2"/>
      </c>
      <c r="I21" s="327"/>
      <c r="J21" s="40"/>
      <c r="K21" s="314"/>
      <c r="L21" s="315"/>
      <c r="M21" s="41"/>
      <c r="N21" s="42"/>
      <c r="O21" s="43"/>
      <c r="P21" s="110"/>
      <c r="Q21" s="45" t="str">
        <f t="shared" si="3"/>
      </c>
    </row>
    <row r="22" ht="20.1" customHeight="1">
      <c r="A22" s="40"/>
      <c r="B22" s="314"/>
      <c r="C22" s="315"/>
      <c r="D22" s="41"/>
      <c r="E22" s="42"/>
      <c r="F22" s="43"/>
      <c r="G22" s="110"/>
      <c r="H22" s="45" t="str">
        <f t="shared" si="2"/>
      </c>
      <c r="I22" s="327"/>
      <c r="J22" s="40"/>
      <c r="K22" s="314"/>
      <c r="L22" s="315"/>
      <c r="M22" s="41"/>
      <c r="N22" s="42"/>
      <c r="O22" s="43"/>
      <c r="P22" s="110"/>
      <c r="Q22" s="45" t="str">
        <f t="shared" si="3"/>
      </c>
    </row>
    <row r="23" ht="20.1" customHeight="1">
      <c r="A23" s="40"/>
      <c r="B23" s="314"/>
      <c r="C23" s="315"/>
      <c r="D23" s="41"/>
      <c r="E23" s="42"/>
      <c r="F23" s="43"/>
      <c r="G23" s="110"/>
      <c r="H23" s="45" t="str">
        <f t="shared" si="2"/>
      </c>
      <c r="I23" s="327"/>
      <c r="J23" s="40"/>
      <c r="K23" s="314"/>
      <c r="L23" s="315"/>
      <c r="M23" s="41"/>
      <c r="N23" s="42"/>
      <c r="O23" s="43"/>
      <c r="P23" s="110"/>
      <c r="Q23" s="45" t="str">
        <f t="shared" si="3"/>
      </c>
    </row>
    <row r="24" ht="20.1" customHeight="1">
      <c r="A24" s="40"/>
      <c r="B24" s="314"/>
      <c r="C24" s="315"/>
      <c r="D24" s="41"/>
      <c r="E24" s="42"/>
      <c r="F24" s="43"/>
      <c r="G24" s="110"/>
      <c r="H24" s="45" t="str">
        <f t="shared" si="2"/>
      </c>
      <c r="I24" s="327"/>
      <c r="J24" s="40"/>
      <c r="K24" s="314"/>
      <c r="L24" s="315"/>
      <c r="M24" s="41"/>
      <c r="N24" s="42"/>
      <c r="O24" s="43"/>
      <c r="P24" s="110"/>
      <c r="Q24" s="45" t="str">
        <f t="shared" si="3"/>
      </c>
    </row>
    <row r="25" ht="20.1" customHeight="1">
      <c r="A25" s="40"/>
      <c r="B25" s="314"/>
      <c r="C25" s="315"/>
      <c r="D25" s="41"/>
      <c r="E25" s="42"/>
      <c r="F25" s="43"/>
      <c r="G25" s="110"/>
      <c r="H25" s="45" t="str">
        <f t="shared" si="0"/>
      </c>
      <c r="I25" s="327"/>
      <c r="J25" s="40"/>
      <c r="K25" s="314"/>
      <c r="L25" s="315"/>
      <c r="M25" s="41"/>
      <c r="N25" s="42"/>
      <c r="O25" s="43"/>
      <c r="P25" s="110"/>
      <c r="Q25" s="45" t="str">
        <f t="shared" si="1"/>
      </c>
    </row>
    <row r="26" ht="20.1" customHeight="1">
      <c r="A26" s="40"/>
      <c r="B26" s="314"/>
      <c r="C26" s="315"/>
      <c r="D26" s="41"/>
      <c r="E26" s="42"/>
      <c r="F26" s="43"/>
      <c r="G26" s="110"/>
      <c r="H26" s="45" t="str">
        <f t="shared" si="0"/>
      </c>
      <c r="I26" s="327"/>
      <c r="J26" s="40"/>
      <c r="K26" s="314"/>
      <c r="L26" s="315"/>
      <c r="M26" s="41"/>
      <c r="N26" s="42"/>
      <c r="O26" s="43"/>
      <c r="P26" s="110"/>
      <c r="Q26" s="45" t="str">
        <f t="shared" si="1"/>
      </c>
    </row>
    <row r="27" ht="20.1" customHeight="1">
      <c r="A27" s="116"/>
      <c r="B27" s="316"/>
      <c r="C27" s="317"/>
      <c r="D27" s="117"/>
      <c r="E27" s="93"/>
      <c r="F27" s="118"/>
      <c r="G27" s="119"/>
      <c r="H27" s="120" t="str">
        <f t="shared" si="0"/>
      </c>
      <c r="I27" s="327"/>
      <c r="J27" s="116"/>
      <c r="K27" s="316"/>
      <c r="L27" s="317"/>
      <c r="M27" s="117"/>
      <c r="N27" s="93"/>
      <c r="O27" s="118"/>
      <c r="P27" s="119"/>
      <c r="Q27" s="120" t="str">
        <f t="shared" si="1"/>
      </c>
    </row>
    <row r="28" ht="20.1" customHeight="1">
      <c r="A28" s="322"/>
      <c r="B28" s="323"/>
      <c r="C28" s="323"/>
      <c r="D28" s="324"/>
      <c r="E28" s="320" t="s">
        <v>14</v>
      </c>
      <c r="F28" s="321"/>
      <c r="G28" s="321"/>
      <c r="H28" s="6">
        <f>ROUNDUP(SUM(H4:H27)*U5,0)</f>
        <v>0</v>
      </c>
      <c r="I28" s="327"/>
      <c r="J28" s="322"/>
      <c r="K28" s="323"/>
      <c r="L28" s="323"/>
      <c r="M28" s="324"/>
      <c r="N28" s="320" t="s">
        <v>14</v>
      </c>
      <c r="O28" s="321"/>
      <c r="P28" s="321"/>
      <c r="Q28" s="6">
        <f>ROUNDUP(SUM(Q4:Q27)*X5,0)</f>
        <v>0</v>
      </c>
    </row>
    <row r="29" ht="20.1" customHeight="1">
      <c r="A29" s="111"/>
      <c r="B29" s="318"/>
      <c r="C29" s="319"/>
      <c r="D29" s="112"/>
      <c r="E29" s="85"/>
      <c r="F29" s="113"/>
      <c r="G29" s="114"/>
      <c r="H29" s="115" t="str">
        <f>IF(ISBLANK(E29),"",IF(D29="X",((E29+(F29/12))*G29)/100*0.5,((E29+(F29/12))*G29)/100))</f>
      </c>
      <c r="I29" s="327"/>
      <c r="J29" s="111"/>
      <c r="K29" s="318"/>
      <c r="L29" s="319"/>
      <c r="M29" s="112"/>
      <c r="N29" s="85"/>
      <c r="O29" s="113"/>
      <c r="P29" s="114"/>
      <c r="Q29" s="115" t="str">
        <f>IF(ISBLANK(N29),"",IF(M29="X",((N29+(O29/12))*P29)/100*0.5,((N29+(O29/12))*P29)/100))</f>
      </c>
    </row>
    <row r="30" ht="20.1" customHeight="1">
      <c r="A30" s="40"/>
      <c r="B30" s="314"/>
      <c r="C30" s="315"/>
      <c r="D30" s="41"/>
      <c r="E30" s="42"/>
      <c r="F30" s="43"/>
      <c r="G30" s="110"/>
      <c r="H30" s="45" t="str">
        <f ref="H30:H40" t="shared" si="4">IF(ISBLANK(E30),"",IF(D30="X",((E30+(F30/12))*G30)/100*0.5,((E30+(F30/12))*G30)/100))</f>
      </c>
      <c r="I30" s="327"/>
      <c r="J30" s="40"/>
      <c r="K30" s="314"/>
      <c r="L30" s="315"/>
      <c r="M30" s="41"/>
      <c r="N30" s="42"/>
      <c r="O30" s="43"/>
      <c r="P30" s="110"/>
      <c r="Q30" s="45" t="str">
        <f ref="Q30:Q40" t="shared" si="5">IF(ISBLANK(N30),"",IF(M30="X",((N30+(O30/12))*P30)/100*0.5,((N30+(O30/12))*P30)/100))</f>
      </c>
    </row>
    <row r="31" ht="20.1" customHeight="1">
      <c r="A31" s="40"/>
      <c r="B31" s="314"/>
      <c r="C31" s="315"/>
      <c r="D31" s="41"/>
      <c r="E31" s="42"/>
      <c r="F31" s="43"/>
      <c r="G31" s="110"/>
      <c r="H31" s="45" t="str">
        <f t="shared" si="4"/>
      </c>
      <c r="I31" s="327"/>
      <c r="J31" s="40"/>
      <c r="K31" s="314"/>
      <c r="L31" s="315"/>
      <c r="M31" s="41"/>
      <c r="N31" s="42"/>
      <c r="O31" s="43"/>
      <c r="P31" s="110"/>
      <c r="Q31" s="45" t="str">
        <f t="shared" si="5"/>
      </c>
    </row>
    <row r="32" ht="20.1" customHeight="1">
      <c r="A32" s="40"/>
      <c r="B32" s="314"/>
      <c r="C32" s="315"/>
      <c r="D32" s="41"/>
      <c r="E32" s="42"/>
      <c r="F32" s="43"/>
      <c r="G32" s="110"/>
      <c r="H32" s="45" t="str">
        <f t="shared" si="4"/>
      </c>
      <c r="I32" s="327"/>
      <c r="J32" s="40"/>
      <c r="K32" s="314"/>
      <c r="L32" s="315"/>
      <c r="M32" s="41"/>
      <c r="N32" s="42"/>
      <c r="O32" s="43"/>
      <c r="P32" s="110"/>
      <c r="Q32" s="45" t="str">
        <f t="shared" si="5"/>
      </c>
    </row>
    <row r="33" ht="20.1" customHeight="1">
      <c r="A33" s="40"/>
      <c r="B33" s="314"/>
      <c r="C33" s="315"/>
      <c r="D33" s="41"/>
      <c r="E33" s="42"/>
      <c r="F33" s="43"/>
      <c r="G33" s="110"/>
      <c r="H33" s="45" t="str">
        <f t="shared" si="4"/>
      </c>
      <c r="I33" s="327"/>
      <c r="J33" s="40"/>
      <c r="K33" s="314"/>
      <c r="L33" s="315"/>
      <c r="M33" s="41"/>
      <c r="N33" s="42"/>
      <c r="O33" s="43"/>
      <c r="P33" s="110"/>
      <c r="Q33" s="45" t="str">
        <f t="shared" si="5"/>
      </c>
    </row>
    <row r="34" ht="20.1" customHeight="1">
      <c r="A34" s="40"/>
      <c r="B34" s="314"/>
      <c r="C34" s="315"/>
      <c r="D34" s="41"/>
      <c r="E34" s="42"/>
      <c r="F34" s="43"/>
      <c r="G34" s="110"/>
      <c r="H34" s="45" t="str">
        <f t="shared" si="4"/>
      </c>
      <c r="I34" s="327"/>
      <c r="J34" s="40"/>
      <c r="K34" s="314"/>
      <c r="L34" s="315"/>
      <c r="M34" s="41"/>
      <c r="N34" s="42"/>
      <c r="O34" s="43"/>
      <c r="P34" s="110"/>
      <c r="Q34" s="45" t="str">
        <f t="shared" si="5"/>
      </c>
    </row>
    <row r="35" ht="20.1" customHeight="1">
      <c r="A35" s="40"/>
      <c r="B35" s="314"/>
      <c r="C35" s="315"/>
      <c r="D35" s="41"/>
      <c r="E35" s="42"/>
      <c r="F35" s="43"/>
      <c r="G35" s="110"/>
      <c r="H35" s="45" t="str">
        <f t="shared" si="4"/>
      </c>
      <c r="I35" s="327"/>
      <c r="J35" s="40"/>
      <c r="K35" s="314"/>
      <c r="L35" s="315"/>
      <c r="M35" s="41"/>
      <c r="N35" s="42"/>
      <c r="O35" s="43"/>
      <c r="P35" s="110"/>
      <c r="Q35" s="45" t="str">
        <f t="shared" si="5"/>
      </c>
    </row>
    <row r="36" ht="20.1" customHeight="1">
      <c r="A36" s="40"/>
      <c r="B36" s="314"/>
      <c r="C36" s="315"/>
      <c r="D36" s="41"/>
      <c r="E36" s="42"/>
      <c r="F36" s="43"/>
      <c r="G36" s="110"/>
      <c r="H36" s="45" t="str">
        <f t="shared" si="4"/>
      </c>
      <c r="I36" s="327"/>
      <c r="J36" s="40"/>
      <c r="K36" s="314"/>
      <c r="L36" s="315"/>
      <c r="M36" s="41"/>
      <c r="N36" s="42"/>
      <c r="O36" s="43"/>
      <c r="P36" s="110"/>
      <c r="Q36" s="45" t="str">
        <f t="shared" si="5"/>
      </c>
    </row>
    <row r="37" ht="20.1" customHeight="1">
      <c r="A37" s="40"/>
      <c r="B37" s="314"/>
      <c r="C37" s="315"/>
      <c r="D37" s="41"/>
      <c r="E37" s="42"/>
      <c r="F37" s="43"/>
      <c r="G37" s="110"/>
      <c r="H37" s="45" t="str">
        <f t="shared" si="4"/>
      </c>
      <c r="I37" s="327"/>
      <c r="J37" s="40"/>
      <c r="K37" s="314"/>
      <c r="L37" s="315"/>
      <c r="M37" s="41"/>
      <c r="N37" s="42"/>
      <c r="O37" s="43"/>
      <c r="P37" s="110"/>
      <c r="Q37" s="45" t="str">
        <f t="shared" si="5"/>
      </c>
    </row>
    <row r="38" ht="20.1" customHeight="1">
      <c r="A38" s="40"/>
      <c r="B38" s="314"/>
      <c r="C38" s="315"/>
      <c r="D38" s="41"/>
      <c r="E38" s="42"/>
      <c r="F38" s="43"/>
      <c r="G38" s="110"/>
      <c r="H38" s="45" t="str">
        <f t="shared" si="4"/>
      </c>
      <c r="I38" s="327"/>
      <c r="J38" s="40"/>
      <c r="K38" s="314"/>
      <c r="L38" s="315"/>
      <c r="M38" s="41"/>
      <c r="N38" s="42"/>
      <c r="O38" s="43"/>
      <c r="P38" s="110"/>
      <c r="Q38" s="45" t="str">
        <f t="shared" si="5"/>
      </c>
    </row>
    <row r="39" ht="20.1" customHeight="1">
      <c r="A39" s="40"/>
      <c r="B39" s="314"/>
      <c r="C39" s="315"/>
      <c r="D39" s="41"/>
      <c r="E39" s="42"/>
      <c r="F39" s="43"/>
      <c r="G39" s="110"/>
      <c r="H39" s="45" t="str">
        <f t="shared" si="4"/>
      </c>
      <c r="I39" s="327"/>
      <c r="J39" s="40"/>
      <c r="K39" s="314"/>
      <c r="L39" s="315"/>
      <c r="M39" s="41"/>
      <c r="N39" s="42"/>
      <c r="O39" s="43"/>
      <c r="P39" s="110"/>
      <c r="Q39" s="45" t="str">
        <f t="shared" si="5"/>
      </c>
    </row>
    <row r="40" ht="20.1" customHeight="1">
      <c r="A40" s="40"/>
      <c r="B40" s="314"/>
      <c r="C40" s="315"/>
      <c r="D40" s="41"/>
      <c r="E40" s="42"/>
      <c r="F40" s="43"/>
      <c r="G40" s="110"/>
      <c r="H40" s="45" t="str">
        <f t="shared" si="4"/>
      </c>
      <c r="I40" s="327"/>
      <c r="J40" s="40"/>
      <c r="K40" s="314"/>
      <c r="L40" s="315"/>
      <c r="M40" s="41"/>
      <c r="N40" s="42"/>
      <c r="O40" s="43"/>
      <c r="P40" s="110"/>
      <c r="Q40" s="45" t="str">
        <f t="shared" si="5"/>
      </c>
    </row>
    <row r="41" ht="20.1" customHeight="1">
      <c r="A41" s="40"/>
      <c r="B41" s="314"/>
      <c r="C41" s="315"/>
      <c r="D41" s="41"/>
      <c r="E41" s="42"/>
      <c r="F41" s="43"/>
      <c r="G41" s="110"/>
      <c r="H41" s="45" t="str">
        <f ref="H41:H52" t="shared" si="6">IF(ISBLANK(E41),"",IF(D41="X",((E41+(F41/12))*G41)/100*0.5,((E41+(F41/12))*G41)/100))</f>
      </c>
      <c r="I41" s="327"/>
      <c r="J41" s="40"/>
      <c r="K41" s="314"/>
      <c r="L41" s="315"/>
      <c r="M41" s="41"/>
      <c r="N41" s="42"/>
      <c r="O41" s="43"/>
      <c r="P41" s="110"/>
      <c r="Q41" s="45" t="str">
        <f ref="Q41:Q52" t="shared" si="7">IF(ISBLANK(N41),"",IF(M41="X",((N41+(O41/12))*P41)/100*0.5,((N41+(O41/12))*P41)/100))</f>
      </c>
    </row>
    <row r="42" ht="20.1" customHeight="1">
      <c r="A42" s="40"/>
      <c r="B42" s="314"/>
      <c r="C42" s="315"/>
      <c r="D42" s="41"/>
      <c r="E42" s="42"/>
      <c r="F42" s="43"/>
      <c r="G42" s="110"/>
      <c r="H42" s="45" t="str">
        <f t="shared" si="6"/>
      </c>
      <c r="I42" s="327"/>
      <c r="J42" s="40"/>
      <c r="K42" s="314"/>
      <c r="L42" s="315"/>
      <c r="M42" s="41"/>
      <c r="N42" s="42"/>
      <c r="O42" s="43"/>
      <c r="P42" s="110"/>
      <c r="Q42" s="45" t="str">
        <f t="shared" si="7"/>
      </c>
    </row>
    <row r="43" ht="20.1" customHeight="1">
      <c r="A43" s="40"/>
      <c r="B43" s="314"/>
      <c r="C43" s="315"/>
      <c r="D43" s="41"/>
      <c r="E43" s="42"/>
      <c r="F43" s="43"/>
      <c r="G43" s="110"/>
      <c r="H43" s="45" t="str">
        <f t="shared" si="6"/>
      </c>
      <c r="I43" s="327"/>
      <c r="J43" s="40"/>
      <c r="K43" s="314"/>
      <c r="L43" s="315"/>
      <c r="M43" s="41"/>
      <c r="N43" s="42"/>
      <c r="O43" s="43"/>
      <c r="P43" s="110"/>
      <c r="Q43" s="45" t="str">
        <f t="shared" si="7"/>
      </c>
    </row>
    <row r="44" ht="20.1" customHeight="1">
      <c r="A44" s="40"/>
      <c r="B44" s="314"/>
      <c r="C44" s="315"/>
      <c r="D44" s="41"/>
      <c r="E44" s="42"/>
      <c r="F44" s="43"/>
      <c r="G44" s="110"/>
      <c r="H44" s="45" t="str">
        <f t="shared" si="6"/>
      </c>
      <c r="I44" s="327"/>
      <c r="J44" s="40"/>
      <c r="K44" s="314"/>
      <c r="L44" s="315"/>
      <c r="M44" s="41"/>
      <c r="N44" s="42"/>
      <c r="O44" s="43"/>
      <c r="P44" s="110"/>
      <c r="Q44" s="45" t="str">
        <f t="shared" si="7"/>
      </c>
    </row>
    <row r="45" ht="20.1" customHeight="1">
      <c r="A45" s="40"/>
      <c r="B45" s="314"/>
      <c r="C45" s="315"/>
      <c r="D45" s="41"/>
      <c r="E45" s="42"/>
      <c r="F45" s="43"/>
      <c r="G45" s="110"/>
      <c r="H45" s="45" t="str">
        <f t="shared" si="6"/>
      </c>
      <c r="I45" s="327"/>
      <c r="J45" s="40"/>
      <c r="K45" s="314"/>
      <c r="L45" s="315"/>
      <c r="M45" s="41"/>
      <c r="N45" s="42"/>
      <c r="O45" s="43"/>
      <c r="P45" s="110"/>
      <c r="Q45" s="45" t="str">
        <f t="shared" si="7"/>
      </c>
    </row>
    <row r="46" ht="20.1" customHeight="1">
      <c r="A46" s="40"/>
      <c r="B46" s="314"/>
      <c r="C46" s="315"/>
      <c r="D46" s="41"/>
      <c r="E46" s="42"/>
      <c r="F46" s="43"/>
      <c r="G46" s="110"/>
      <c r="H46" s="45" t="str">
        <f t="shared" si="6"/>
      </c>
      <c r="I46" s="327"/>
      <c r="J46" s="40"/>
      <c r="K46" s="314"/>
      <c r="L46" s="315"/>
      <c r="M46" s="41"/>
      <c r="N46" s="42"/>
      <c r="O46" s="43"/>
      <c r="P46" s="110"/>
      <c r="Q46" s="45" t="str">
        <f t="shared" si="7"/>
      </c>
    </row>
    <row r="47" ht="20.1" customHeight="1">
      <c r="A47" s="40"/>
      <c r="B47" s="314"/>
      <c r="C47" s="315"/>
      <c r="D47" s="41"/>
      <c r="E47" s="42"/>
      <c r="F47" s="43"/>
      <c r="G47" s="110"/>
      <c r="H47" s="45" t="str">
        <f t="shared" si="6"/>
      </c>
      <c r="I47" s="327"/>
      <c r="J47" s="40"/>
      <c r="K47" s="314"/>
      <c r="L47" s="315"/>
      <c r="M47" s="41"/>
      <c r="N47" s="42"/>
      <c r="O47" s="43"/>
      <c r="P47" s="110"/>
      <c r="Q47" s="45" t="str">
        <f t="shared" si="7"/>
      </c>
    </row>
    <row r="48" ht="20.1" customHeight="1">
      <c r="A48" s="40"/>
      <c r="B48" s="314"/>
      <c r="C48" s="315"/>
      <c r="D48" s="41"/>
      <c r="E48" s="42"/>
      <c r="F48" s="43"/>
      <c r="G48" s="110"/>
      <c r="H48" s="45" t="str">
        <f t="shared" si="6"/>
      </c>
      <c r="I48" s="327"/>
      <c r="J48" s="40"/>
      <c r="K48" s="314"/>
      <c r="L48" s="315"/>
      <c r="M48" s="41"/>
      <c r="N48" s="42"/>
      <c r="O48" s="43"/>
      <c r="P48" s="110"/>
      <c r="Q48" s="45" t="str">
        <f t="shared" si="7"/>
      </c>
    </row>
    <row r="49" ht="20.1" customHeight="1">
      <c r="A49" s="40"/>
      <c r="B49" s="314"/>
      <c r="C49" s="315"/>
      <c r="D49" s="41"/>
      <c r="E49" s="42"/>
      <c r="F49" s="43"/>
      <c r="G49" s="110"/>
      <c r="H49" s="45" t="str">
        <f t="shared" si="6"/>
      </c>
      <c r="I49" s="327"/>
      <c r="J49" s="40"/>
      <c r="K49" s="314"/>
      <c r="L49" s="315"/>
      <c r="M49" s="41"/>
      <c r="N49" s="42"/>
      <c r="O49" s="43"/>
      <c r="P49" s="110"/>
      <c r="Q49" s="45" t="str">
        <f t="shared" si="7"/>
      </c>
    </row>
    <row r="50" ht="20.1" customHeight="1">
      <c r="A50" s="40"/>
      <c r="B50" s="314"/>
      <c r="C50" s="315"/>
      <c r="D50" s="41"/>
      <c r="E50" s="42"/>
      <c r="F50" s="43"/>
      <c r="G50" s="110"/>
      <c r="H50" s="45" t="str">
        <f t="shared" si="6"/>
      </c>
      <c r="I50" s="327"/>
      <c r="J50" s="40"/>
      <c r="K50" s="314"/>
      <c r="L50" s="315"/>
      <c r="M50" s="41"/>
      <c r="N50" s="42"/>
      <c r="O50" s="43"/>
      <c r="P50" s="110"/>
      <c r="Q50" s="45" t="str">
        <f t="shared" si="7"/>
      </c>
    </row>
    <row r="51" ht="20.1" customHeight="1">
      <c r="A51" s="40"/>
      <c r="B51" s="314"/>
      <c r="C51" s="315"/>
      <c r="D51" s="41"/>
      <c r="E51" s="42"/>
      <c r="F51" s="43"/>
      <c r="G51" s="110"/>
      <c r="H51" s="45" t="str">
        <f t="shared" si="6"/>
      </c>
      <c r="I51" s="327"/>
      <c r="J51" s="40"/>
      <c r="K51" s="314"/>
      <c r="L51" s="315"/>
      <c r="M51" s="41"/>
      <c r="N51" s="42"/>
      <c r="O51" s="43"/>
      <c r="P51" s="110"/>
      <c r="Q51" s="45" t="str">
        <f t="shared" si="7"/>
      </c>
    </row>
    <row r="52" ht="20.1" customHeight="1">
      <c r="A52" s="116"/>
      <c r="B52" s="316"/>
      <c r="C52" s="317"/>
      <c r="D52" s="117"/>
      <c r="E52" s="93"/>
      <c r="F52" s="118"/>
      <c r="G52" s="119"/>
      <c r="H52" s="120" t="str">
        <f t="shared" si="6"/>
      </c>
      <c r="I52" s="327"/>
      <c r="J52" s="116"/>
      <c r="K52" s="316"/>
      <c r="L52" s="317"/>
      <c r="M52" s="117"/>
      <c r="N52" s="93"/>
      <c r="O52" s="118"/>
      <c r="P52" s="119"/>
      <c r="Q52" s="120" t="str">
        <f t="shared" si="7"/>
      </c>
    </row>
    <row r="53" ht="20.1" customHeight="1">
      <c r="A53" s="322"/>
      <c r="B53" s="323"/>
      <c r="C53" s="323"/>
      <c r="D53" s="324"/>
      <c r="E53" s="320" t="s">
        <v>14</v>
      </c>
      <c r="F53" s="321"/>
      <c r="G53" s="321"/>
      <c r="H53" s="6">
        <f>ROUNDUP(SUM(H29:H52)*U8,0)</f>
        <v>0</v>
      </c>
      <c r="I53" s="328"/>
      <c r="J53" s="322"/>
      <c r="K53" s="323"/>
      <c r="L53" s="323"/>
      <c r="M53" s="324"/>
      <c r="N53" s="320" t="s">
        <v>14</v>
      </c>
      <c r="O53" s="321"/>
      <c r="P53" s="321"/>
      <c r="Q53" s="6">
        <f>ROUNDUP(SUM(Q29:Q52)*X8,0)</f>
        <v>0</v>
      </c>
    </row>
    <row r="54" ht="20.25" customHeight="1">
      <c r="A54" s="27"/>
      <c r="B54" s="27"/>
      <c r="C54" s="28"/>
      <c r="D54" s="28"/>
      <c r="E54" s="28"/>
      <c r="F54" s="28"/>
      <c r="G54" s="28"/>
      <c r="H54" s="38"/>
      <c r="I54" s="29"/>
      <c r="J54" s="27"/>
      <c r="K54" s="27"/>
      <c r="L54" s="28"/>
      <c r="M54" s="28"/>
      <c r="N54" s="32"/>
      <c r="O54" s="32"/>
      <c r="P54" s="30"/>
      <c r="Q54" s="31"/>
    </row>
  </sheetData>
  <mergeCells>
    <mergeCell ref="B16:C16"/>
    <mergeCell ref="B11:C11"/>
    <mergeCell ref="B12:C12"/>
    <mergeCell ref="B13:C13"/>
    <mergeCell ref="B14:C14"/>
    <mergeCell ref="B7:C7"/>
    <mergeCell ref="B8:C8"/>
    <mergeCell ref="B9:C9"/>
    <mergeCell ref="B10:C10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H6" sqref="H6:L6"/>
    </sheetView>
  </sheetViews>
  <sheetFormatPr defaultRowHeight="15" x14ac:dyDescent="0.2"/>
  <cols>
    <col min="1" max="3" width="10.7109375" customWidth="1" style="9"/>
    <col min="4" max="4" width="22.7109375" customWidth="1" style="9"/>
    <col min="5" max="5" width="12.7109375" customWidth="1" style="9"/>
    <col min="6" max="6" width="3.28515625" customWidth="1" style="19"/>
    <col min="7" max="7" width="11.7109375" customWidth="1" style="9"/>
    <col min="8" max="9" width="10.7109375" customWidth="1" style="9"/>
    <col min="10" max="12" width="7.7109375" customWidth="1" style="9"/>
    <col min="13" max="13" width="12.7109375" customWidth="1" style="9"/>
    <col min="14" max="16384" width="9.140625" customWidth="1" style="9"/>
  </cols>
  <sheetData>
    <row r="1" ht="20.1" customHeight="1">
      <c r="A1" s="244" t="s">
        <v>0</v>
      </c>
      <c r="B1" s="245"/>
      <c r="C1" s="351" t="str">
        <f>IF(ISBLANK(INDIRECT("Cover!D3")),"",INDIRECT("Cover!D3"))</f>
        <v>*</v>
      </c>
      <c r="D1" s="351"/>
      <c r="E1" s="351"/>
      <c r="F1" s="351"/>
      <c r="G1" s="351"/>
      <c r="H1" s="351"/>
      <c r="I1" s="245" t="s">
        <v>1</v>
      </c>
      <c r="J1" s="245"/>
      <c r="K1" s="256" t="str">
        <f>IF(ISBLANK(INDIRECT("Cover!O2")),"",INDIRECT("Cover!O2"))</f>
        <v>*</v>
      </c>
      <c r="L1" s="256"/>
      <c r="M1" s="257"/>
    </row>
    <row r="2" ht="20.1" customHeight="1">
      <c r="A2" s="246" t="s">
        <v>2</v>
      </c>
      <c r="B2" s="247"/>
      <c r="C2" s="325" t="str">
        <f>IF(ISBLANK(INDIRECT("Cover!D4")),"",INDIRECT("Cover!D4"))</f>
        <v>*</v>
      </c>
      <c r="D2" s="325"/>
      <c r="E2" s="325"/>
      <c r="F2" s="325"/>
      <c r="G2" s="325"/>
      <c r="H2" s="325"/>
      <c r="I2" s="247" t="s">
        <v>3</v>
      </c>
      <c r="J2" s="247"/>
      <c r="K2" s="59"/>
      <c r="L2" s="33" t="s">
        <v>4</v>
      </c>
      <c r="M2" s="34" t="str">
        <f>IF(ISBLANK(INDIRECT("Cover!Q7")),"",INDIRECT("Cover!Q7"))</f>
      </c>
    </row>
    <row r="3" ht="20.1" customHeight="1">
      <c r="A3" s="35" t="s">
        <v>6</v>
      </c>
      <c r="B3" s="329" t="s">
        <v>241</v>
      </c>
      <c r="C3" s="336"/>
      <c r="D3" s="330"/>
      <c r="E3" s="35" t="s">
        <v>24</v>
      </c>
      <c r="F3" s="326"/>
      <c r="G3" s="35" t="s">
        <v>6</v>
      </c>
      <c r="H3" s="329" t="s">
        <v>242</v>
      </c>
      <c r="I3" s="336"/>
      <c r="J3" s="336"/>
      <c r="K3" s="336"/>
      <c r="L3" s="330"/>
      <c r="M3" s="35" t="s">
        <v>9</v>
      </c>
    </row>
    <row r="4" ht="20.1" customHeight="1">
      <c r="A4" s="75"/>
      <c r="B4" s="337"/>
      <c r="C4" s="338"/>
      <c r="D4" s="339"/>
      <c r="E4" s="77"/>
      <c r="F4" s="327"/>
      <c r="G4" s="75"/>
      <c r="H4" s="337"/>
      <c r="I4" s="338"/>
      <c r="J4" s="338"/>
      <c r="K4" s="338"/>
      <c r="L4" s="339"/>
      <c r="M4" s="77"/>
    </row>
    <row r="5" ht="20.1" customHeight="1">
      <c r="A5" s="36"/>
      <c r="B5" s="340"/>
      <c r="C5" s="341"/>
      <c r="D5" s="342"/>
      <c r="E5" s="37"/>
      <c r="F5" s="327"/>
      <c r="G5" s="36"/>
      <c r="H5" s="340"/>
      <c r="I5" s="341"/>
      <c r="J5" s="341"/>
      <c r="K5" s="341"/>
      <c r="L5" s="342"/>
      <c r="M5" s="37"/>
    </row>
    <row r="6" ht="20.1" customHeight="1">
      <c r="A6" s="36"/>
      <c r="B6" s="340"/>
      <c r="C6" s="341"/>
      <c r="D6" s="342"/>
      <c r="E6" s="37"/>
      <c r="F6" s="327"/>
      <c r="G6" s="36"/>
      <c r="H6" s="340"/>
      <c r="I6" s="341"/>
      <c r="J6" s="341"/>
      <c r="K6" s="341"/>
      <c r="L6" s="342"/>
      <c r="M6" s="37"/>
    </row>
    <row r="7" ht="20.1" customHeight="1">
      <c r="A7" s="36"/>
      <c r="B7" s="340"/>
      <c r="C7" s="341"/>
      <c r="D7" s="342"/>
      <c r="E7" s="37"/>
      <c r="F7" s="327"/>
      <c r="G7" s="36"/>
      <c r="H7" s="340"/>
      <c r="I7" s="341"/>
      <c r="J7" s="341"/>
      <c r="K7" s="341"/>
      <c r="L7" s="342"/>
      <c r="M7" s="37"/>
    </row>
    <row r="8" ht="20.1" customHeight="1">
      <c r="A8" s="36"/>
      <c r="B8" s="340"/>
      <c r="C8" s="341"/>
      <c r="D8" s="342"/>
      <c r="E8" s="37"/>
      <c r="F8" s="327"/>
      <c r="G8" s="36"/>
      <c r="H8" s="340"/>
      <c r="I8" s="341"/>
      <c r="J8" s="341"/>
      <c r="K8" s="341"/>
      <c r="L8" s="342"/>
      <c r="M8" s="37"/>
    </row>
    <row r="9" ht="20.1" customHeight="1">
      <c r="A9" s="36"/>
      <c r="B9" s="340"/>
      <c r="C9" s="341"/>
      <c r="D9" s="342"/>
      <c r="E9" s="37"/>
      <c r="F9" s="327"/>
      <c r="G9" s="36"/>
      <c r="H9" s="340"/>
      <c r="I9" s="341"/>
      <c r="J9" s="341"/>
      <c r="K9" s="341"/>
      <c r="L9" s="342"/>
      <c r="M9" s="37"/>
    </row>
    <row r="10" ht="20.1" customHeight="1">
      <c r="A10" s="36"/>
      <c r="B10" s="340"/>
      <c r="C10" s="341"/>
      <c r="D10" s="342"/>
      <c r="E10" s="37"/>
      <c r="F10" s="327"/>
      <c r="G10" s="36"/>
      <c r="H10" s="340"/>
      <c r="I10" s="341"/>
      <c r="J10" s="341"/>
      <c r="K10" s="341"/>
      <c r="L10" s="342"/>
      <c r="M10" s="37"/>
    </row>
    <row r="11" ht="20.1" customHeight="1">
      <c r="A11" s="121"/>
      <c r="B11" s="343"/>
      <c r="C11" s="344"/>
      <c r="D11" s="345"/>
      <c r="E11" s="123"/>
      <c r="F11" s="327"/>
      <c r="G11" s="121"/>
      <c r="H11" s="343"/>
      <c r="I11" s="344"/>
      <c r="J11" s="344"/>
      <c r="K11" s="344"/>
      <c r="L11" s="345"/>
      <c r="M11" s="123"/>
    </row>
    <row r="12" ht="20.1" customHeight="1">
      <c r="A12" s="346"/>
      <c r="B12" s="347"/>
      <c r="C12" s="348"/>
      <c r="D12" s="5" t="s">
        <v>14</v>
      </c>
      <c r="E12" s="6">
        <f>ROUNDUP(SUM(E4:E11)*1.1,-3)</f>
        <v>0</v>
      </c>
      <c r="F12" s="327"/>
      <c r="G12" s="346"/>
      <c r="H12" s="347"/>
      <c r="I12" s="348"/>
      <c r="J12" s="320" t="s">
        <v>14</v>
      </c>
      <c r="K12" s="321"/>
      <c r="L12" s="321"/>
      <c r="M12" s="6">
        <f>ROUNDUP(SUM(M4:M11)*1.02,-1)</f>
        <v>0</v>
      </c>
    </row>
    <row r="13" ht="20.1" customHeight="1">
      <c r="A13" s="35" t="s">
        <v>6</v>
      </c>
      <c r="B13" s="329" t="s">
        <v>243</v>
      </c>
      <c r="C13" s="336"/>
      <c r="D13" s="330"/>
      <c r="E13" s="35" t="s">
        <v>9</v>
      </c>
      <c r="F13" s="327"/>
      <c r="G13" s="35" t="s">
        <v>6</v>
      </c>
      <c r="H13" s="329" t="s">
        <v>244</v>
      </c>
      <c r="I13" s="336"/>
      <c r="J13" s="336"/>
      <c r="K13" s="336"/>
      <c r="L13" s="330"/>
      <c r="M13" s="25" t="s">
        <v>24</v>
      </c>
    </row>
    <row r="14" ht="20.1" customHeight="1">
      <c r="A14" s="75"/>
      <c r="B14" s="337"/>
      <c r="C14" s="338"/>
      <c r="D14" s="339"/>
      <c r="E14" s="77"/>
      <c r="F14" s="327"/>
      <c r="G14" s="75"/>
      <c r="H14" s="337"/>
      <c r="I14" s="338"/>
      <c r="J14" s="338"/>
      <c r="K14" s="338"/>
      <c r="L14" s="339"/>
      <c r="M14" s="77"/>
    </row>
    <row r="15" ht="20.1" customHeight="1">
      <c r="A15" s="36"/>
      <c r="B15" s="340"/>
      <c r="C15" s="341"/>
      <c r="D15" s="342"/>
      <c r="E15" s="37"/>
      <c r="F15" s="327"/>
      <c r="G15" s="36"/>
      <c r="H15" s="340"/>
      <c r="I15" s="341"/>
      <c r="J15" s="341"/>
      <c r="K15" s="341"/>
      <c r="L15" s="342"/>
      <c r="M15" s="37"/>
    </row>
    <row r="16" ht="20.1" customHeight="1">
      <c r="A16" s="36"/>
      <c r="B16" s="340"/>
      <c r="C16" s="341"/>
      <c r="D16" s="342"/>
      <c r="E16" s="37"/>
      <c r="F16" s="327"/>
      <c r="G16" s="36"/>
      <c r="H16" s="340"/>
      <c r="I16" s="341"/>
      <c r="J16" s="341"/>
      <c r="K16" s="341"/>
      <c r="L16" s="342"/>
      <c r="M16" s="37"/>
    </row>
    <row r="17" ht="20.1" customHeight="1">
      <c r="A17" s="36"/>
      <c r="B17" s="340"/>
      <c r="C17" s="341"/>
      <c r="D17" s="342"/>
      <c r="E17" s="37"/>
      <c r="F17" s="327"/>
      <c r="G17" s="36"/>
      <c r="H17" s="340"/>
      <c r="I17" s="341"/>
      <c r="J17" s="341"/>
      <c r="K17" s="341"/>
      <c r="L17" s="342"/>
      <c r="M17" s="37"/>
    </row>
    <row r="18" ht="20.1" customHeight="1">
      <c r="A18" s="36"/>
      <c r="B18" s="340"/>
      <c r="C18" s="341"/>
      <c r="D18" s="342"/>
      <c r="E18" s="37"/>
      <c r="F18" s="327"/>
      <c r="G18" s="36"/>
      <c r="H18" s="340"/>
      <c r="I18" s="341"/>
      <c r="J18" s="341"/>
      <c r="K18" s="341"/>
      <c r="L18" s="342"/>
      <c r="M18" s="37"/>
    </row>
    <row r="19" ht="20.1" customHeight="1">
      <c r="A19" s="36"/>
      <c r="B19" s="340"/>
      <c r="C19" s="341"/>
      <c r="D19" s="342"/>
      <c r="E19" s="37"/>
      <c r="F19" s="327"/>
      <c r="G19" s="36"/>
      <c r="H19" s="340"/>
      <c r="I19" s="341"/>
      <c r="J19" s="341"/>
      <c r="K19" s="341"/>
      <c r="L19" s="342"/>
      <c r="M19" s="37"/>
    </row>
    <row r="20" ht="20.1" customHeight="1">
      <c r="A20" s="36"/>
      <c r="B20" s="340"/>
      <c r="C20" s="341"/>
      <c r="D20" s="342"/>
      <c r="E20" s="37"/>
      <c r="F20" s="327"/>
      <c r="G20" s="36"/>
      <c r="H20" s="340"/>
      <c r="I20" s="341"/>
      <c r="J20" s="341"/>
      <c r="K20" s="341"/>
      <c r="L20" s="342"/>
      <c r="M20" s="37"/>
    </row>
    <row r="21" ht="20.1" customHeight="1">
      <c r="A21" s="121"/>
      <c r="B21" s="343"/>
      <c r="C21" s="344"/>
      <c r="D21" s="345"/>
      <c r="E21" s="123"/>
      <c r="F21" s="327"/>
      <c r="G21" s="121"/>
      <c r="H21" s="343"/>
      <c r="I21" s="344"/>
      <c r="J21" s="344"/>
      <c r="K21" s="344"/>
      <c r="L21" s="345"/>
      <c r="M21" s="123"/>
    </row>
    <row r="22" ht="20.1" customHeight="1">
      <c r="A22" s="346"/>
      <c r="B22" s="347"/>
      <c r="C22" s="348"/>
      <c r="D22" s="5" t="s">
        <v>14</v>
      </c>
      <c r="E22" s="6">
        <f>ROUNDUP(SUM(E14:E21)*1.02,-1)</f>
        <v>0</v>
      </c>
      <c r="F22" s="327"/>
      <c r="G22" s="346"/>
      <c r="H22" s="347"/>
      <c r="I22" s="348"/>
      <c r="J22" s="320" t="s">
        <v>14</v>
      </c>
      <c r="K22" s="321"/>
      <c r="L22" s="321"/>
      <c r="M22" s="6">
        <f>SUM(M14:M21)</f>
        <v>0</v>
      </c>
    </row>
    <row r="23" ht="20.1" customHeight="1">
      <c r="A23" s="35" t="s">
        <v>6</v>
      </c>
      <c r="B23" s="329" t="s">
        <v>245</v>
      </c>
      <c r="C23" s="336"/>
      <c r="D23" s="330"/>
      <c r="E23" s="35" t="s">
        <v>9</v>
      </c>
      <c r="F23" s="327"/>
      <c r="G23" s="35" t="s">
        <v>6</v>
      </c>
      <c r="H23" s="329" t="s">
        <v>246</v>
      </c>
      <c r="I23" s="336"/>
      <c r="J23" s="336"/>
      <c r="K23" s="336"/>
      <c r="L23" s="330"/>
      <c r="M23" s="35" t="s">
        <v>9</v>
      </c>
    </row>
    <row r="24" ht="20.1" customHeight="1">
      <c r="A24" s="75"/>
      <c r="B24" s="337"/>
      <c r="C24" s="338"/>
      <c r="D24" s="339"/>
      <c r="E24" s="77"/>
      <c r="F24" s="327"/>
      <c r="G24" s="75"/>
      <c r="H24" s="337"/>
      <c r="I24" s="338"/>
      <c r="J24" s="338"/>
      <c r="K24" s="338"/>
      <c r="L24" s="339"/>
      <c r="M24" s="77"/>
    </row>
    <row r="25" ht="20.1" customHeight="1">
      <c r="A25" s="36"/>
      <c r="B25" s="340"/>
      <c r="C25" s="341"/>
      <c r="D25" s="342"/>
      <c r="E25" s="37"/>
      <c r="F25" s="327"/>
      <c r="G25" s="36"/>
      <c r="H25" s="340"/>
      <c r="I25" s="341"/>
      <c r="J25" s="341"/>
      <c r="K25" s="341"/>
      <c r="L25" s="342"/>
      <c r="M25" s="37"/>
    </row>
    <row r="26" ht="20.1" customHeight="1">
      <c r="A26" s="36"/>
      <c r="B26" s="340"/>
      <c r="C26" s="341"/>
      <c r="D26" s="342"/>
      <c r="E26" s="37"/>
      <c r="F26" s="327"/>
      <c r="G26" s="36"/>
      <c r="H26" s="340"/>
      <c r="I26" s="341"/>
      <c r="J26" s="341"/>
      <c r="K26" s="341"/>
      <c r="L26" s="342"/>
      <c r="M26" s="37"/>
    </row>
    <row r="27" ht="20.1" customHeight="1">
      <c r="A27" s="36"/>
      <c r="B27" s="340"/>
      <c r="C27" s="341"/>
      <c r="D27" s="342"/>
      <c r="E27" s="37"/>
      <c r="F27" s="327"/>
      <c r="G27" s="36"/>
      <c r="H27" s="340"/>
      <c r="I27" s="341"/>
      <c r="J27" s="341"/>
      <c r="K27" s="341"/>
      <c r="L27" s="342"/>
      <c r="M27" s="37"/>
    </row>
    <row r="28" ht="20.1" customHeight="1">
      <c r="A28" s="36"/>
      <c r="B28" s="340"/>
      <c r="C28" s="341"/>
      <c r="D28" s="342"/>
      <c r="E28" s="37"/>
      <c r="F28" s="327"/>
      <c r="G28" s="36"/>
      <c r="H28" s="340"/>
      <c r="I28" s="341"/>
      <c r="J28" s="341"/>
      <c r="K28" s="341"/>
      <c r="L28" s="342"/>
      <c r="M28" s="37"/>
    </row>
    <row r="29" ht="20.1" customHeight="1">
      <c r="A29" s="36"/>
      <c r="B29" s="340"/>
      <c r="C29" s="341"/>
      <c r="D29" s="342"/>
      <c r="E29" s="37"/>
      <c r="F29" s="327"/>
      <c r="G29" s="36"/>
      <c r="H29" s="340"/>
      <c r="I29" s="341"/>
      <c r="J29" s="341"/>
      <c r="K29" s="341"/>
      <c r="L29" s="342"/>
      <c r="M29" s="37"/>
    </row>
    <row r="30" ht="20.1" customHeight="1">
      <c r="A30" s="36"/>
      <c r="B30" s="340"/>
      <c r="C30" s="341"/>
      <c r="D30" s="342"/>
      <c r="E30" s="37"/>
      <c r="F30" s="327"/>
      <c r="G30" s="36"/>
      <c r="H30" s="340"/>
      <c r="I30" s="341"/>
      <c r="J30" s="341"/>
      <c r="K30" s="341"/>
      <c r="L30" s="342"/>
      <c r="M30" s="37"/>
    </row>
    <row r="31" ht="20.1" customHeight="1">
      <c r="A31" s="121"/>
      <c r="B31" s="343"/>
      <c r="C31" s="344"/>
      <c r="D31" s="345"/>
      <c r="E31" s="123"/>
      <c r="F31" s="327"/>
      <c r="G31" s="121"/>
      <c r="H31" s="343"/>
      <c r="I31" s="344"/>
      <c r="J31" s="344"/>
      <c r="K31" s="344"/>
      <c r="L31" s="345"/>
      <c r="M31" s="123"/>
    </row>
    <row r="32" ht="20.1" customHeight="1">
      <c r="A32" s="346"/>
      <c r="B32" s="347"/>
      <c r="C32" s="348"/>
      <c r="D32" s="5" t="s">
        <v>14</v>
      </c>
      <c r="E32" s="6">
        <f>ROUNDUP(SUM(E24:E31)*1.02,-1)</f>
        <v>0</v>
      </c>
      <c r="F32" s="327"/>
      <c r="G32" s="346"/>
      <c r="H32" s="347"/>
      <c r="I32" s="348"/>
      <c r="J32" s="320" t="s">
        <v>14</v>
      </c>
      <c r="K32" s="349"/>
      <c r="L32" s="349"/>
      <c r="M32" s="6">
        <f>ROUNDUP(SUM(M24:M31)*1.02,-1)</f>
        <v>0</v>
      </c>
    </row>
    <row r="33" ht="20.1" customHeight="1">
      <c r="A33" s="35" t="s">
        <v>6</v>
      </c>
      <c r="B33" s="329" t="s">
        <v>247</v>
      </c>
      <c r="C33" s="336"/>
      <c r="D33" s="330"/>
      <c r="E33" s="35" t="s">
        <v>248</v>
      </c>
      <c r="F33" s="327"/>
      <c r="G33" s="35" t="s">
        <v>6</v>
      </c>
      <c r="H33" s="329" t="s">
        <v>249</v>
      </c>
      <c r="I33" s="336"/>
      <c r="J33" s="336"/>
      <c r="K33" s="336"/>
      <c r="L33" s="330"/>
      <c r="M33" s="35" t="s">
        <v>9</v>
      </c>
    </row>
    <row r="34" ht="20.1" customHeight="1">
      <c r="A34" s="75"/>
      <c r="B34" s="337"/>
      <c r="C34" s="338"/>
      <c r="D34" s="339"/>
      <c r="E34" s="77"/>
      <c r="F34" s="327"/>
      <c r="G34" s="75"/>
      <c r="H34" s="337"/>
      <c r="I34" s="338"/>
      <c r="J34" s="338"/>
      <c r="K34" s="338"/>
      <c r="L34" s="339"/>
      <c r="M34" s="77"/>
    </row>
    <row r="35" ht="20.1" customHeight="1">
      <c r="A35" s="36"/>
      <c r="B35" s="340"/>
      <c r="C35" s="341"/>
      <c r="D35" s="342"/>
      <c r="E35" s="37"/>
      <c r="F35" s="327"/>
      <c r="G35" s="36"/>
      <c r="H35" s="340"/>
      <c r="I35" s="341"/>
      <c r="J35" s="341"/>
      <c r="K35" s="341"/>
      <c r="L35" s="342"/>
      <c r="M35" s="37"/>
    </row>
    <row r="36" ht="20.1" customHeight="1">
      <c r="A36" s="36"/>
      <c r="B36" s="340"/>
      <c r="C36" s="341"/>
      <c r="D36" s="342"/>
      <c r="E36" s="37"/>
      <c r="F36" s="327"/>
      <c r="G36" s="36"/>
      <c r="H36" s="340"/>
      <c r="I36" s="341"/>
      <c r="J36" s="341"/>
      <c r="K36" s="341"/>
      <c r="L36" s="342"/>
      <c r="M36" s="37"/>
    </row>
    <row r="37" ht="20.1" customHeight="1">
      <c r="A37" s="36"/>
      <c r="B37" s="340"/>
      <c r="C37" s="341"/>
      <c r="D37" s="342"/>
      <c r="E37" s="37"/>
      <c r="F37" s="327"/>
      <c r="G37" s="36"/>
      <c r="H37" s="340"/>
      <c r="I37" s="341"/>
      <c r="J37" s="341"/>
      <c r="K37" s="341"/>
      <c r="L37" s="342"/>
      <c r="M37" s="37"/>
    </row>
    <row r="38" ht="20.1" customHeight="1">
      <c r="A38" s="36"/>
      <c r="B38" s="340"/>
      <c r="C38" s="341"/>
      <c r="D38" s="342"/>
      <c r="E38" s="37"/>
      <c r="F38" s="327"/>
      <c r="G38" s="36"/>
      <c r="H38" s="340"/>
      <c r="I38" s="341"/>
      <c r="J38" s="341"/>
      <c r="K38" s="341"/>
      <c r="L38" s="342"/>
      <c r="M38" s="37"/>
    </row>
    <row r="39" ht="20.1" customHeight="1">
      <c r="A39" s="36"/>
      <c r="B39" s="340"/>
      <c r="C39" s="341"/>
      <c r="D39" s="342"/>
      <c r="E39" s="37"/>
      <c r="F39" s="327"/>
      <c r="G39" s="36"/>
      <c r="H39" s="340"/>
      <c r="I39" s="341"/>
      <c r="J39" s="341"/>
      <c r="K39" s="341"/>
      <c r="L39" s="342"/>
      <c r="M39" s="37"/>
    </row>
    <row r="40" ht="20.1" customHeight="1">
      <c r="A40" s="36"/>
      <c r="B40" s="340"/>
      <c r="C40" s="341"/>
      <c r="D40" s="342"/>
      <c r="E40" s="37"/>
      <c r="F40" s="327"/>
      <c r="G40" s="36"/>
      <c r="H40" s="340"/>
      <c r="I40" s="341"/>
      <c r="J40" s="341"/>
      <c r="K40" s="341"/>
      <c r="L40" s="342"/>
      <c r="M40" s="37"/>
    </row>
    <row r="41" ht="20.1" customHeight="1">
      <c r="A41" s="121"/>
      <c r="B41" s="343"/>
      <c r="C41" s="344"/>
      <c r="D41" s="345"/>
      <c r="E41" s="123"/>
      <c r="F41" s="327"/>
      <c r="G41" s="121"/>
      <c r="H41" s="343"/>
      <c r="I41" s="344"/>
      <c r="J41" s="344"/>
      <c r="K41" s="344"/>
      <c r="L41" s="345"/>
      <c r="M41" s="123"/>
    </row>
    <row r="42" ht="20.1" customHeight="1">
      <c r="A42" s="346"/>
      <c r="B42" s="347"/>
      <c r="C42" s="348"/>
      <c r="D42" s="5" t="s">
        <v>14</v>
      </c>
      <c r="E42" s="6">
        <f>SUM(E34:E41)</f>
        <v>0</v>
      </c>
      <c r="F42" s="327"/>
      <c r="G42" s="346"/>
      <c r="H42" s="347"/>
      <c r="I42" s="348"/>
      <c r="J42" s="320" t="s">
        <v>14</v>
      </c>
      <c r="K42" s="321"/>
      <c r="L42" s="321"/>
      <c r="M42" s="6">
        <f>ROUNDUP(SUM(M34:M41)*1.02,-1)</f>
        <v>0</v>
      </c>
    </row>
    <row r="43" ht="20.1" customHeight="1">
      <c r="A43" s="352" t="s">
        <v>250</v>
      </c>
      <c r="B43" s="353"/>
      <c r="C43" s="353"/>
      <c r="D43" s="353"/>
      <c r="E43" s="354"/>
      <c r="F43" s="327"/>
      <c r="G43" s="352" t="s">
        <v>250</v>
      </c>
      <c r="H43" s="353"/>
      <c r="I43" s="353"/>
      <c r="J43" s="353"/>
      <c r="K43" s="353"/>
      <c r="L43" s="353"/>
      <c r="M43" s="354"/>
    </row>
    <row r="44" ht="20.1" customHeight="1">
      <c r="A44" s="35" t="s">
        <v>6</v>
      </c>
      <c r="B44" s="350" t="s">
        <v>7</v>
      </c>
      <c r="C44" s="350"/>
      <c r="D44" s="35" t="s">
        <v>15</v>
      </c>
      <c r="E44" s="35" t="s">
        <v>24</v>
      </c>
      <c r="F44" s="327"/>
      <c r="G44" s="35" t="s">
        <v>6</v>
      </c>
      <c r="H44" s="350" t="s">
        <v>7</v>
      </c>
      <c r="I44" s="350"/>
      <c r="J44" s="329" t="s">
        <v>15</v>
      </c>
      <c r="K44" s="336"/>
      <c r="L44" s="330"/>
      <c r="M44" s="35" t="s">
        <v>24</v>
      </c>
    </row>
    <row r="45" ht="20.1" customHeight="1">
      <c r="A45" s="75"/>
      <c r="B45" s="337"/>
      <c r="C45" s="339"/>
      <c r="D45" s="76"/>
      <c r="E45" s="77"/>
      <c r="F45" s="327"/>
      <c r="G45" s="75"/>
      <c r="H45" s="337"/>
      <c r="I45" s="339"/>
      <c r="J45" s="337"/>
      <c r="K45" s="338"/>
      <c r="L45" s="339"/>
      <c r="M45" s="77"/>
    </row>
    <row r="46" ht="20.1" customHeight="1">
      <c r="A46" s="36"/>
      <c r="B46" s="340"/>
      <c r="C46" s="342"/>
      <c r="D46" s="76"/>
      <c r="E46" s="37"/>
      <c r="F46" s="327"/>
      <c r="G46" s="36"/>
      <c r="H46" s="340"/>
      <c r="I46" s="342"/>
      <c r="J46" s="340"/>
      <c r="K46" s="341"/>
      <c r="L46" s="342"/>
      <c r="M46" s="37"/>
    </row>
    <row r="47" ht="20.1" customHeight="1">
      <c r="A47" s="36"/>
      <c r="B47" s="340"/>
      <c r="C47" s="342"/>
      <c r="D47" s="122"/>
      <c r="E47" s="123"/>
      <c r="F47" s="327"/>
      <c r="G47" s="36"/>
      <c r="H47" s="340"/>
      <c r="I47" s="342"/>
      <c r="J47" s="340"/>
      <c r="K47" s="341"/>
      <c r="L47" s="342"/>
      <c r="M47" s="37"/>
    </row>
    <row r="48" ht="20.1" customHeight="1">
      <c r="A48" s="121"/>
      <c r="B48" s="343"/>
      <c r="C48" s="345"/>
      <c r="D48" s="122"/>
      <c r="E48" s="123"/>
      <c r="F48" s="327"/>
      <c r="G48" s="121"/>
      <c r="H48" s="343"/>
      <c r="I48" s="345"/>
      <c r="J48" s="343"/>
      <c r="K48" s="344"/>
      <c r="L48" s="345"/>
      <c r="M48" s="123"/>
    </row>
    <row r="49" ht="20.1" customHeight="1">
      <c r="A49" s="346"/>
      <c r="B49" s="347"/>
      <c r="C49" s="348"/>
      <c r="D49" s="5" t="s">
        <v>14</v>
      </c>
      <c r="E49" s="6">
        <f>SUM(E44:E48)</f>
        <v>0</v>
      </c>
      <c r="F49" s="328"/>
      <c r="G49" s="346"/>
      <c r="H49" s="347"/>
      <c r="I49" s="348"/>
      <c r="J49" s="320" t="s">
        <v>14</v>
      </c>
      <c r="K49" s="321"/>
      <c r="L49" s="321"/>
      <c r="M49" s="6">
        <f>SUM(M44:M48)</f>
        <v>0</v>
      </c>
    </row>
    <row r="50" ht="20.25" customHeight="1">
      <c r="A50" s="27"/>
      <c r="B50" s="28"/>
      <c r="C50" s="28"/>
      <c r="D50" s="28"/>
      <c r="E50" s="28"/>
      <c r="F50" s="29"/>
      <c r="G50" s="27"/>
      <c r="H50" s="28"/>
      <c r="I50" s="28"/>
      <c r="J50" s="30"/>
      <c r="K50" s="30"/>
      <c r="L50" s="31"/>
      <c r="M50" s="32"/>
    </row>
  </sheetData>
  <mergeCells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tabSelected="1" zoomScaleNormal="100" workbookViewId="0">
      <selection activeCell="D11" sqref="D11:R11"/>
    </sheetView>
  </sheetViews>
  <sheetFormatPr defaultRowHeight="12.75" x14ac:dyDescent="0.2"/>
  <cols>
    <col min="1" max="2" width="6.7109375" customWidth="1" style="9"/>
    <col min="3" max="3" width="8.7109375" customWidth="1" style="9"/>
    <col min="4" max="4" width="12.7109375" customWidth="1" style="9"/>
    <col min="5" max="6" width="6.7109375" customWidth="1" style="9"/>
    <col min="7" max="7" width="8.7109375" customWidth="1" style="9"/>
    <col min="8" max="8" width="12.7109375" customWidth="1" style="9"/>
    <col min="9" max="9" width="6.7109375" customWidth="1" style="9"/>
    <col min="10" max="10" width="20.7109375" customWidth="1" style="9"/>
    <col min="11" max="11" width="6.7109375" customWidth="1" style="9"/>
    <col min="12" max="12" width="10.7109375" customWidth="1" style="9"/>
    <col min="13" max="13" width="6.7109375" customWidth="1" style="9"/>
    <col min="14" max="14" width="9.7109375" customWidth="1" style="9"/>
    <col min="15" max="15" width="6.7109375" customWidth="1" style="9"/>
    <col min="16" max="16" width="4.7109375" customWidth="1" style="9"/>
    <col min="17" max="17" width="7.7109375" customWidth="1" style="9"/>
    <col min="18" max="18" width="10.7109375" customWidth="1" style="127"/>
    <col min="19" max="19" hidden="1" width="12.7109375" customWidth="1" style="129"/>
    <col min="20" max="20" width="9.5703125" customWidth="1" style="9"/>
    <col min="21" max="21" width="8.85546875" customWidth="1" style="9"/>
    <col min="22" max="22" width="9.5703125" customWidth="1" style="9"/>
    <col min="23" max="23" width="8.5703125" customWidth="1" style="9"/>
    <col min="24" max="25" width="10.7109375" customWidth="1" style="9"/>
    <col min="26" max="26" width="10.5703125" customWidth="1" style="9"/>
    <col min="27" max="27" width="8.7109375" customWidth="1" style="9"/>
    <col min="28" max="28" width="9.7109375" customWidth="1" style="9"/>
    <col min="29" max="29" width="8.5703125" customWidth="1" style="9"/>
    <col min="30" max="16384" width="9.140625" customWidth="1" style="9"/>
  </cols>
  <sheetData>
    <row r="1" ht="20.1" customHeight="1">
      <c r="A1" s="362" t="s">
        <v>51</v>
      </c>
      <c r="B1" s="363"/>
      <c r="C1" s="363"/>
      <c r="D1" s="364" t="s">
        <v>52</v>
      </c>
      <c r="E1" s="364"/>
      <c r="F1" s="364"/>
      <c r="G1" s="364"/>
      <c r="H1" s="365"/>
      <c r="I1" s="365"/>
      <c r="J1" s="365"/>
      <c r="K1" s="365"/>
      <c r="L1" s="365"/>
      <c r="M1" s="365"/>
      <c r="N1" s="365"/>
      <c r="O1" s="365"/>
      <c r="P1" s="365"/>
      <c r="Q1" s="365"/>
      <c r="R1" s="365"/>
      <c r="T1" s="126" t="s">
        <v>53</v>
      </c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7"/>
    </row>
    <row r="2" ht="20.1" customHeight="1" s="10" customFormat="1">
      <c r="A2" s="368" t="s">
        <v>54</v>
      </c>
      <c r="B2" s="369"/>
      <c r="C2" s="369"/>
      <c r="D2" s="370" t="s">
        <v>52</v>
      </c>
      <c r="E2" s="370"/>
      <c r="F2" s="370"/>
      <c r="G2" s="370"/>
      <c r="H2" s="138" t="s">
        <v>55</v>
      </c>
      <c r="I2" s="371" t="s">
        <v>52</v>
      </c>
      <c r="J2" s="371"/>
      <c r="K2" s="371"/>
      <c r="L2" s="371"/>
      <c r="M2" s="361" t="s">
        <v>56</v>
      </c>
      <c r="N2" s="361"/>
      <c r="O2" s="366" t="s">
        <v>52</v>
      </c>
      <c r="P2" s="366"/>
      <c r="Q2" s="366"/>
      <c r="R2" s="367"/>
      <c r="S2" s="130"/>
      <c r="T2" s="11"/>
      <c r="U2" s="12"/>
      <c r="V2" s="12"/>
      <c r="W2" s="12"/>
      <c r="X2" s="11"/>
      <c r="Y2" s="12"/>
      <c r="Z2" s="12"/>
      <c r="AA2" s="12"/>
      <c r="AB2" s="12"/>
      <c r="AC2" s="13"/>
      <c r="AD2" s="12"/>
      <c r="AE2" s="12"/>
      <c r="AF2" s="12"/>
    </row>
    <row r="3" ht="20.1" customHeight="1" s="10" customFormat="1">
      <c r="A3" s="360" t="s">
        <v>57</v>
      </c>
      <c r="B3" s="361"/>
      <c r="C3" s="361"/>
      <c r="D3" s="374" t="s">
        <v>52</v>
      </c>
      <c r="E3" s="374"/>
      <c r="F3" s="374"/>
      <c r="G3" s="374"/>
      <c r="H3" s="374"/>
      <c r="I3" s="374"/>
      <c r="J3" s="374"/>
      <c r="K3" s="374"/>
      <c r="L3" s="374"/>
      <c r="M3" s="361" t="s">
        <v>58</v>
      </c>
      <c r="N3" s="361"/>
      <c r="O3" s="379" t="s">
        <v>52</v>
      </c>
      <c r="P3" s="379"/>
      <c r="Q3" s="139" t="s">
        <v>59</v>
      </c>
      <c r="R3" s="140">
        <v>0.375</v>
      </c>
      <c r="S3" s="130" t="s">
        <v>60</v>
      </c>
      <c r="T3" s="11"/>
      <c r="U3" s="12"/>
      <c r="V3" s="12"/>
      <c r="W3" s="12"/>
      <c r="X3" s="11"/>
      <c r="Y3" s="12"/>
      <c r="Z3" s="12"/>
      <c r="AA3" s="12"/>
      <c r="AB3" s="12"/>
      <c r="AC3" s="13"/>
      <c r="AD3" s="12"/>
      <c r="AE3" s="12"/>
      <c r="AF3" s="12"/>
    </row>
    <row r="4" ht="20.1" customHeight="1" s="10" customFormat="1">
      <c r="A4" s="360" t="s">
        <v>61</v>
      </c>
      <c r="B4" s="361"/>
      <c r="C4" s="361"/>
      <c r="D4" s="374" t="s">
        <v>52</v>
      </c>
      <c r="E4" s="374"/>
      <c r="F4" s="374"/>
      <c r="G4" s="374"/>
      <c r="H4" s="374"/>
      <c r="I4" s="374"/>
      <c r="J4" s="374"/>
      <c r="K4" s="374"/>
      <c r="L4" s="374"/>
      <c r="M4" s="361" t="s">
        <v>62</v>
      </c>
      <c r="N4" s="361"/>
      <c r="O4" s="374" t="s">
        <v>52</v>
      </c>
      <c r="P4" s="374"/>
      <c r="Q4" s="374"/>
      <c r="R4" s="382"/>
      <c r="S4" s="132">
        <v>0.333333333333333</v>
      </c>
      <c r="T4" s="12"/>
      <c r="U4" s="12"/>
      <c r="V4" s="12"/>
      <c r="W4" s="12"/>
      <c r="X4" s="11"/>
      <c r="Y4" s="12"/>
      <c r="Z4" s="12"/>
      <c r="AA4" s="12"/>
      <c r="AB4" s="12"/>
      <c r="AC4" s="12"/>
      <c r="AD4" s="12"/>
      <c r="AE4" s="12"/>
      <c r="AF4" s="12"/>
    </row>
    <row r="5" ht="20.1" customHeight="1" s="10" customFormat="1">
      <c r="A5" s="360" t="s">
        <v>63</v>
      </c>
      <c r="B5" s="361"/>
      <c r="C5" s="361"/>
      <c r="D5" s="374" t="s">
        <v>52</v>
      </c>
      <c r="E5" s="374"/>
      <c r="F5" s="374"/>
      <c r="G5" s="374"/>
      <c r="H5" s="374"/>
      <c r="I5" s="374"/>
      <c r="J5" s="374"/>
      <c r="K5" s="374"/>
      <c r="L5" s="374"/>
      <c r="M5" s="361" t="s">
        <v>64</v>
      </c>
      <c r="N5" s="361"/>
      <c r="O5" s="361"/>
      <c r="P5" s="361"/>
      <c r="Q5" s="357" t="s">
        <v>65</v>
      </c>
      <c r="R5" s="380"/>
      <c r="S5" s="132">
        <v>0.375</v>
      </c>
      <c r="T5" s="12"/>
      <c r="U5" s="12"/>
      <c r="V5" s="12"/>
      <c r="W5" s="12"/>
      <c r="X5" s="11"/>
      <c r="Y5" s="12"/>
      <c r="Z5" s="12"/>
      <c r="AA5" s="12"/>
      <c r="AB5" s="12"/>
      <c r="AC5" s="12"/>
      <c r="AD5" s="12"/>
      <c r="AE5" s="12"/>
      <c r="AF5" s="12"/>
    </row>
    <row r="6" ht="20.1" customHeight="1" s="10" customFormat="1">
      <c r="A6" s="375"/>
      <c r="B6" s="376"/>
      <c r="C6" s="376"/>
      <c r="D6" s="374"/>
      <c r="E6" s="374"/>
      <c r="F6" s="374"/>
      <c r="G6" s="374"/>
      <c r="H6" s="374"/>
      <c r="I6" s="374"/>
      <c r="J6" s="374"/>
      <c r="K6" s="374"/>
      <c r="L6" s="374"/>
      <c r="M6" s="361" t="s">
        <v>66</v>
      </c>
      <c r="N6" s="361"/>
      <c r="O6" s="361"/>
      <c r="P6" s="361"/>
      <c r="Q6" s="379" t="s">
        <v>52</v>
      </c>
      <c r="R6" s="388"/>
      <c r="S6" s="132">
        <v>0.416666666666667</v>
      </c>
      <c r="T6" s="12"/>
      <c r="U6" s="12"/>
      <c r="V6" s="12"/>
      <c r="W6" s="12"/>
      <c r="X6" s="11"/>
      <c r="Y6" s="12"/>
      <c r="Z6" s="12"/>
      <c r="AA6" s="12"/>
      <c r="AB6" s="12"/>
      <c r="AC6" s="12"/>
      <c r="AD6" s="12"/>
      <c r="AE6" s="12"/>
      <c r="AF6" s="12"/>
    </row>
    <row r="7" ht="20.1" customHeight="1" s="10" customFormat="1">
      <c r="A7" s="377"/>
      <c r="B7" s="378"/>
      <c r="C7" s="378"/>
      <c r="D7" s="374"/>
      <c r="E7" s="374"/>
      <c r="F7" s="374"/>
      <c r="G7" s="374"/>
      <c r="H7" s="374"/>
      <c r="I7" s="374"/>
      <c r="J7" s="374"/>
      <c r="K7" s="374"/>
      <c r="L7" s="374"/>
      <c r="M7" s="361"/>
      <c r="N7" s="361"/>
      <c r="O7" s="154"/>
      <c r="P7" s="141"/>
      <c r="Q7" s="154"/>
      <c r="R7" s="142"/>
      <c r="S7" s="132">
        <v>0.458333333333333</v>
      </c>
      <c r="T7" s="12"/>
      <c r="U7" s="12"/>
      <c r="V7" s="12"/>
      <c r="W7" s="12"/>
      <c r="X7" s="11"/>
      <c r="Y7" s="12"/>
      <c r="Z7" s="12"/>
      <c r="AA7" s="12"/>
      <c r="AB7" s="12"/>
      <c r="AC7" s="12"/>
      <c r="AD7" s="12"/>
      <c r="AE7" s="12"/>
      <c r="AF7" s="12"/>
    </row>
    <row r="8" ht="20.1" customHeight="1" s="10" customFormat="1">
      <c r="A8" s="368" t="s">
        <v>67</v>
      </c>
      <c r="B8" s="394"/>
      <c r="C8" s="394"/>
      <c r="D8" s="366" t="s">
        <v>52</v>
      </c>
      <c r="E8" s="366"/>
      <c r="F8" s="366"/>
      <c r="G8" s="394" t="s">
        <v>68</v>
      </c>
      <c r="H8" s="394"/>
      <c r="I8" s="370" t="s">
        <v>52</v>
      </c>
      <c r="J8" s="370"/>
      <c r="K8" s="394" t="s">
        <v>69</v>
      </c>
      <c r="L8" s="394"/>
      <c r="M8" s="370" t="s">
        <v>52</v>
      </c>
      <c r="N8" s="389"/>
      <c r="O8" s="389"/>
      <c r="P8" s="389"/>
      <c r="Q8" s="389"/>
      <c r="R8" s="390"/>
      <c r="S8" s="132">
        <v>0.5</v>
      </c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</row>
    <row r="9" ht="20.1" customHeight="1" s="10" customFormat="1">
      <c r="A9" s="360" t="s">
        <v>70</v>
      </c>
      <c r="B9" s="361"/>
      <c r="C9" s="361"/>
      <c r="D9" s="357" t="s">
        <v>52</v>
      </c>
      <c r="E9" s="357"/>
      <c r="F9" s="357"/>
      <c r="G9" s="361" t="s">
        <v>71</v>
      </c>
      <c r="H9" s="361"/>
      <c r="I9" s="357" t="s">
        <v>52</v>
      </c>
      <c r="J9" s="357"/>
      <c r="K9" s="361" t="s">
        <v>72</v>
      </c>
      <c r="L9" s="361"/>
      <c r="M9" s="357" t="s">
        <v>52</v>
      </c>
      <c r="N9" s="358"/>
      <c r="O9" s="358"/>
      <c r="P9" s="358"/>
      <c r="Q9" s="358"/>
      <c r="R9" s="359"/>
      <c r="S9" s="132">
        <v>0.541666666666667</v>
      </c>
      <c r="T9" s="14"/>
      <c r="U9" s="14"/>
      <c r="V9" s="14"/>
      <c r="W9" s="12"/>
      <c r="X9" s="12"/>
      <c r="Y9" s="12"/>
      <c r="Z9" s="12"/>
      <c r="AA9" s="12"/>
      <c r="AB9" s="12"/>
      <c r="AC9" s="12"/>
      <c r="AD9" s="14"/>
      <c r="AE9" s="14"/>
      <c r="AF9" s="12"/>
    </row>
    <row r="10" ht="20.1" customHeight="1" s="16" customFormat="1">
      <c r="A10" s="360" t="s">
        <v>73</v>
      </c>
      <c r="B10" s="361"/>
      <c r="C10" s="361"/>
      <c r="D10" s="357" t="s">
        <v>52</v>
      </c>
      <c r="E10" s="357"/>
      <c r="F10" s="357"/>
      <c r="G10" s="357"/>
      <c r="H10" s="357"/>
      <c r="I10" s="357"/>
      <c r="J10" s="357"/>
      <c r="K10" s="357"/>
      <c r="L10" s="357"/>
      <c r="M10" s="357"/>
      <c r="N10" s="357"/>
      <c r="O10" s="357"/>
      <c r="P10" s="357"/>
      <c r="Q10" s="357"/>
      <c r="R10" s="380"/>
      <c r="S10" s="132">
        <v>0.583333333333333</v>
      </c>
      <c r="T10" s="15"/>
      <c r="U10" s="15"/>
      <c r="V10" s="15"/>
      <c r="W10" s="15"/>
      <c r="X10" s="15"/>
      <c r="Y10" s="15"/>
      <c r="Z10" s="15"/>
      <c r="AA10" s="11"/>
      <c r="AB10" s="11"/>
      <c r="AC10" s="11"/>
      <c r="AD10" s="11"/>
      <c r="AE10" s="11"/>
      <c r="AF10" s="11"/>
    </row>
    <row r="11" ht="20.1" customHeight="1" s="16" customFormat="1">
      <c r="A11" s="397"/>
      <c r="B11" s="398"/>
      <c r="C11" s="398"/>
      <c r="D11" s="357"/>
      <c r="E11" s="357"/>
      <c r="F11" s="357"/>
      <c r="G11" s="357"/>
      <c r="H11" s="357"/>
      <c r="I11" s="357"/>
      <c r="J11" s="357"/>
      <c r="K11" s="357"/>
      <c r="L11" s="357"/>
      <c r="M11" s="357"/>
      <c r="N11" s="357"/>
      <c r="O11" s="357"/>
      <c r="P11" s="357"/>
      <c r="Q11" s="357"/>
      <c r="R11" s="380"/>
      <c r="S11" s="132">
        <v>0.625</v>
      </c>
      <c r="T11" s="15"/>
      <c r="U11" s="15"/>
      <c r="V11" s="15"/>
      <c r="W11" s="15"/>
      <c r="X11" s="15"/>
      <c r="Y11" s="15"/>
      <c r="Z11" s="15"/>
      <c r="AA11" s="11"/>
      <c r="AB11" s="11"/>
      <c r="AC11" s="11"/>
      <c r="AD11" s="11"/>
      <c r="AE11" s="11"/>
      <c r="AF11" s="11"/>
    </row>
    <row r="12" ht="20.1" customHeight="1" s="16" customFormat="1">
      <c r="A12" s="360" t="s">
        <v>74</v>
      </c>
      <c r="B12" s="361"/>
      <c r="C12" s="361"/>
      <c r="D12" s="396" t="s">
        <v>52</v>
      </c>
      <c r="E12" s="396"/>
      <c r="F12" s="396"/>
      <c r="G12" s="396"/>
      <c r="H12" s="396"/>
      <c r="I12" s="396"/>
      <c r="J12" s="396"/>
      <c r="K12" s="365"/>
      <c r="L12" s="365"/>
      <c r="M12" s="365"/>
      <c r="N12" s="365"/>
      <c r="O12" s="365"/>
      <c r="P12" s="365"/>
      <c r="Q12" s="365"/>
      <c r="R12" s="395"/>
      <c r="S12" s="132">
        <v>0.666666666666667</v>
      </c>
      <c r="T12" s="15"/>
      <c r="U12" s="15"/>
      <c r="V12" s="15"/>
      <c r="W12" s="15"/>
      <c r="X12" s="15"/>
      <c r="Y12" s="15"/>
      <c r="Z12" s="15"/>
      <c r="AA12" s="11"/>
      <c r="AB12" s="11"/>
      <c r="AC12" s="11"/>
      <c r="AD12" s="11"/>
      <c r="AE12" s="11"/>
      <c r="AF12" s="11"/>
    </row>
    <row r="13" ht="20.1" customHeight="1" s="17" customFormat="1">
      <c r="A13" s="386" t="s">
        <v>75</v>
      </c>
      <c r="B13" s="387"/>
      <c r="C13" s="383" t="s">
        <v>76</v>
      </c>
      <c r="D13" s="383"/>
      <c r="E13" s="383"/>
      <c r="F13" s="384" t="s">
        <v>52</v>
      </c>
      <c r="G13" s="384"/>
      <c r="H13" s="384"/>
      <c r="I13" s="384"/>
      <c r="J13" s="384"/>
      <c r="K13" s="384"/>
      <c r="L13" s="384"/>
      <c r="M13" s="384"/>
      <c r="N13" s="384"/>
      <c r="O13" s="384"/>
      <c r="P13" s="384"/>
      <c r="Q13" s="384"/>
      <c r="R13" s="385"/>
      <c r="S13" s="132">
        <v>0.708333333333333</v>
      </c>
      <c r="T13" s="15"/>
      <c r="U13" s="14"/>
      <c r="V13" s="15"/>
      <c r="W13" s="14"/>
      <c r="X13" s="15"/>
      <c r="Y13" s="14"/>
      <c r="Z13" s="15"/>
      <c r="AA13" s="14"/>
      <c r="AB13" s="15"/>
      <c r="AC13" s="14"/>
      <c r="AD13" s="14"/>
      <c r="AE13" s="14"/>
      <c r="AF13" s="14"/>
    </row>
    <row r="14" ht="20.1" customHeight="1" s="19" customFormat="1">
      <c r="A14" s="229"/>
      <c r="B14" s="372"/>
      <c r="C14" s="372"/>
      <c r="D14" s="372"/>
      <c r="E14" s="372"/>
      <c r="F14" s="372"/>
      <c r="G14" s="372"/>
      <c r="H14" s="372"/>
      <c r="I14" s="372"/>
      <c r="J14" s="372"/>
      <c r="K14" s="372"/>
      <c r="L14" s="372"/>
      <c r="M14" s="372"/>
      <c r="N14" s="372"/>
      <c r="O14" s="372"/>
      <c r="P14" s="372"/>
      <c r="Q14" s="372"/>
      <c r="R14" s="373"/>
      <c r="S14" s="131"/>
    </row>
    <row r="15" ht="20.1" customHeight="1" s="19" customFormat="1">
      <c r="A15" s="125"/>
      <c r="B15" s="372"/>
      <c r="C15" s="372"/>
      <c r="D15" s="372"/>
      <c r="E15" s="372"/>
      <c r="F15" s="372"/>
      <c r="G15" s="372"/>
      <c r="H15" s="372"/>
      <c r="I15" s="372"/>
      <c r="J15" s="372"/>
      <c r="K15" s="372"/>
      <c r="L15" s="372"/>
      <c r="M15" s="372"/>
      <c r="N15" s="372"/>
      <c r="O15" s="372"/>
      <c r="P15" s="372"/>
      <c r="Q15" s="372"/>
      <c r="R15" s="373"/>
      <c r="S15" s="131"/>
    </row>
    <row r="16" ht="20.1" customHeight="1" s="19" customFormat="1">
      <c r="A16" s="125"/>
      <c r="B16" s="372"/>
      <c r="C16" s="372"/>
      <c r="D16" s="372"/>
      <c r="E16" s="372"/>
      <c r="F16" s="372"/>
      <c r="G16" s="372"/>
      <c r="H16" s="372"/>
      <c r="I16" s="372"/>
      <c r="J16" s="372"/>
      <c r="K16" s="372"/>
      <c r="L16" s="372"/>
      <c r="M16" s="372"/>
      <c r="N16" s="372"/>
      <c r="O16" s="372"/>
      <c r="P16" s="372"/>
      <c r="Q16" s="372"/>
      <c r="R16" s="373"/>
      <c r="S16" s="131"/>
    </row>
    <row r="17" ht="20.1" customHeight="1" s="19" customFormat="1">
      <c r="A17" s="125"/>
      <c r="B17" s="372"/>
      <c r="C17" s="372"/>
      <c r="D17" s="372"/>
      <c r="E17" s="372"/>
      <c r="F17" s="372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2"/>
      <c r="R17" s="373"/>
      <c r="S17" s="131"/>
    </row>
    <row r="18" ht="20.1" customHeight="1" s="19" customFormat="1">
      <c r="A18" s="125"/>
      <c r="B18" s="372"/>
      <c r="C18" s="372"/>
      <c r="D18" s="372"/>
      <c r="E18" s="372"/>
      <c r="F18" s="372"/>
      <c r="G18" s="372"/>
      <c r="H18" s="372"/>
      <c r="I18" s="372"/>
      <c r="J18" s="372"/>
      <c r="K18" s="372"/>
      <c r="L18" s="372"/>
      <c r="M18" s="372"/>
      <c r="N18" s="372"/>
      <c r="O18" s="372"/>
      <c r="P18" s="372"/>
      <c r="Q18" s="372"/>
      <c r="R18" s="373"/>
      <c r="S18" s="131"/>
    </row>
    <row r="19" ht="20.1" customHeight="1" s="19" customFormat="1">
      <c r="A19" s="125"/>
      <c r="B19" s="372"/>
      <c r="C19" s="372"/>
      <c r="D19" s="372"/>
      <c r="E19" s="372"/>
      <c r="F19" s="372"/>
      <c r="G19" s="372"/>
      <c r="H19" s="372"/>
      <c r="I19" s="372"/>
      <c r="J19" s="372"/>
      <c r="K19" s="372"/>
      <c r="L19" s="372"/>
      <c r="M19" s="372"/>
      <c r="N19" s="372"/>
      <c r="O19" s="372"/>
      <c r="P19" s="372"/>
      <c r="Q19" s="372"/>
      <c r="R19" s="373"/>
      <c r="S19" s="131"/>
    </row>
    <row r="20" ht="20.1" customHeight="1" s="19" customFormat="1">
      <c r="A20" s="125"/>
      <c r="B20" s="372"/>
      <c r="C20" s="372"/>
      <c r="D20" s="372"/>
      <c r="E20" s="372"/>
      <c r="F20" s="372"/>
      <c r="G20" s="372"/>
      <c r="H20" s="372"/>
      <c r="I20" s="372"/>
      <c r="J20" s="372"/>
      <c r="K20" s="372"/>
      <c r="L20" s="372"/>
      <c r="M20" s="372"/>
      <c r="N20" s="372"/>
      <c r="O20" s="372"/>
      <c r="P20" s="372"/>
      <c r="Q20" s="372"/>
      <c r="R20" s="373"/>
      <c r="S20" s="131"/>
    </row>
    <row r="21" ht="20.1" customHeight="1" s="19" customFormat="1">
      <c r="A21" s="125"/>
      <c r="B21" s="372"/>
      <c r="C21" s="372"/>
      <c r="D21" s="372"/>
      <c r="E21" s="372"/>
      <c r="F21" s="372"/>
      <c r="G21" s="372"/>
      <c r="H21" s="372"/>
      <c r="I21" s="372"/>
      <c r="J21" s="372"/>
      <c r="K21" s="372"/>
      <c r="L21" s="372"/>
      <c r="M21" s="372"/>
      <c r="N21" s="372"/>
      <c r="O21" s="372"/>
      <c r="P21" s="372"/>
      <c r="Q21" s="372"/>
      <c r="R21" s="373"/>
      <c r="S21" s="131"/>
    </row>
    <row r="22" ht="20.1" customHeight="1" s="19" customFormat="1">
      <c r="A22" s="125"/>
      <c r="B22" s="372"/>
      <c r="C22" s="372"/>
      <c r="D22" s="372"/>
      <c r="E22" s="372"/>
      <c r="F22" s="372"/>
      <c r="G22" s="372"/>
      <c r="H22" s="372"/>
      <c r="I22" s="372"/>
      <c r="J22" s="372"/>
      <c r="K22" s="372"/>
      <c r="L22" s="372"/>
      <c r="M22" s="372"/>
      <c r="N22" s="372"/>
      <c r="O22" s="372"/>
      <c r="P22" s="372"/>
      <c r="Q22" s="372"/>
      <c r="R22" s="373"/>
      <c r="S22" s="131"/>
    </row>
    <row r="23" ht="20.1" customHeight="1" s="19" customFormat="1">
      <c r="A23" s="125"/>
      <c r="B23" s="372"/>
      <c r="C23" s="372"/>
      <c r="D23" s="372"/>
      <c r="E23" s="372"/>
      <c r="F23" s="372"/>
      <c r="G23" s="372"/>
      <c r="H23" s="372"/>
      <c r="I23" s="372"/>
      <c r="J23" s="372"/>
      <c r="K23" s="372"/>
      <c r="L23" s="372"/>
      <c r="M23" s="372"/>
      <c r="N23" s="372"/>
      <c r="O23" s="372"/>
      <c r="P23" s="372"/>
      <c r="Q23" s="372"/>
      <c r="R23" s="373"/>
      <c r="S23" s="131"/>
    </row>
    <row r="24" ht="20.1" customHeight="1" s="19" customFormat="1">
      <c r="A24" s="125"/>
      <c r="B24" s="372"/>
      <c r="C24" s="372"/>
      <c r="D24" s="372"/>
      <c r="E24" s="372"/>
      <c r="F24" s="372"/>
      <c r="G24" s="372"/>
      <c r="H24" s="372"/>
      <c r="I24" s="372"/>
      <c r="J24" s="372"/>
      <c r="K24" s="372"/>
      <c r="L24" s="372"/>
      <c r="M24" s="372"/>
      <c r="N24" s="372"/>
      <c r="O24" s="372"/>
      <c r="P24" s="372"/>
      <c r="Q24" s="372"/>
      <c r="R24" s="373"/>
      <c r="S24" s="131"/>
    </row>
    <row r="25" ht="20.1" customHeight="1" s="19" customFormat="1">
      <c r="A25" s="125"/>
      <c r="B25" s="372"/>
      <c r="C25" s="372"/>
      <c r="D25" s="372"/>
      <c r="E25" s="372"/>
      <c r="F25" s="372"/>
      <c r="G25" s="372"/>
      <c r="H25" s="372"/>
      <c r="I25" s="372"/>
      <c r="J25" s="372"/>
      <c r="K25" s="372"/>
      <c r="L25" s="372"/>
      <c r="M25" s="372"/>
      <c r="N25" s="372"/>
      <c r="O25" s="372"/>
      <c r="P25" s="372"/>
      <c r="Q25" s="372"/>
      <c r="R25" s="373"/>
      <c r="S25" s="131"/>
    </row>
    <row r="26" ht="20.1" customHeight="1" s="19" customFormat="1">
      <c r="A26" s="125"/>
      <c r="B26" s="372"/>
      <c r="C26" s="372"/>
      <c r="D26" s="372"/>
      <c r="E26" s="372"/>
      <c r="F26" s="372"/>
      <c r="G26" s="372"/>
      <c r="H26" s="372"/>
      <c r="I26" s="372"/>
      <c r="J26" s="372"/>
      <c r="K26" s="372"/>
      <c r="L26" s="372"/>
      <c r="M26" s="372"/>
      <c r="N26" s="372"/>
      <c r="O26" s="372"/>
      <c r="P26" s="372"/>
      <c r="Q26" s="372"/>
      <c r="R26" s="373"/>
      <c r="S26" s="131"/>
    </row>
    <row r="27" ht="20.1" customHeight="1" s="19" customFormat="1">
      <c r="A27" s="125"/>
      <c r="B27" s="372"/>
      <c r="C27" s="372"/>
      <c r="D27" s="372"/>
      <c r="E27" s="372"/>
      <c r="F27" s="372"/>
      <c r="G27" s="372"/>
      <c r="H27" s="372"/>
      <c r="I27" s="372"/>
      <c r="J27" s="372"/>
      <c r="K27" s="372"/>
      <c r="L27" s="372"/>
      <c r="M27" s="372"/>
      <c r="N27" s="372"/>
      <c r="O27" s="372"/>
      <c r="P27" s="372"/>
      <c r="Q27" s="372"/>
      <c r="R27" s="373"/>
      <c r="S27" s="131"/>
    </row>
    <row r="28" ht="20.1" customHeight="1" s="19" customFormat="1">
      <c r="A28" s="125"/>
      <c r="B28" s="372"/>
      <c r="C28" s="372"/>
      <c r="D28" s="372"/>
      <c r="E28" s="372"/>
      <c r="F28" s="372"/>
      <c r="G28" s="372"/>
      <c r="H28" s="372"/>
      <c r="I28" s="372"/>
      <c r="J28" s="372"/>
      <c r="K28" s="372"/>
      <c r="L28" s="372"/>
      <c r="M28" s="372"/>
      <c r="N28" s="372"/>
      <c r="O28" s="372"/>
      <c r="P28" s="372"/>
      <c r="Q28" s="372"/>
      <c r="R28" s="373"/>
      <c r="S28" s="131"/>
    </row>
    <row r="29" ht="20.1" customHeight="1" s="19" customFormat="1">
      <c r="A29" s="125"/>
      <c r="B29" s="372"/>
      <c r="C29" s="372"/>
      <c r="D29" s="372"/>
      <c r="E29" s="372"/>
      <c r="F29" s="372"/>
      <c r="G29" s="372"/>
      <c r="H29" s="372"/>
      <c r="I29" s="372"/>
      <c r="J29" s="372"/>
      <c r="K29" s="372"/>
      <c r="L29" s="372"/>
      <c r="M29" s="372"/>
      <c r="N29" s="372"/>
      <c r="O29" s="372"/>
      <c r="P29" s="372"/>
      <c r="Q29" s="372"/>
      <c r="R29" s="373"/>
      <c r="S29" s="131"/>
    </row>
    <row r="30" ht="20.1" customHeight="1" s="19" customFormat="1">
      <c r="A30" s="125"/>
      <c r="B30" s="372"/>
      <c r="C30" s="372"/>
      <c r="D30" s="372"/>
      <c r="E30" s="372"/>
      <c r="F30" s="372"/>
      <c r="G30" s="372"/>
      <c r="H30" s="372"/>
      <c r="I30" s="372"/>
      <c r="J30" s="372"/>
      <c r="K30" s="372"/>
      <c r="L30" s="372"/>
      <c r="M30" s="372"/>
      <c r="N30" s="372"/>
      <c r="O30" s="372"/>
      <c r="P30" s="372"/>
      <c r="Q30" s="372"/>
      <c r="R30" s="373"/>
      <c r="S30" s="131"/>
    </row>
    <row r="31" ht="20.1" customHeight="1" s="19" customFormat="1">
      <c r="A31" s="125"/>
      <c r="B31" s="372"/>
      <c r="C31" s="372"/>
      <c r="D31" s="372"/>
      <c r="E31" s="372"/>
      <c r="F31" s="372"/>
      <c r="G31" s="372"/>
      <c r="H31" s="372"/>
      <c r="I31" s="372"/>
      <c r="J31" s="372"/>
      <c r="K31" s="372"/>
      <c r="L31" s="372"/>
      <c r="M31" s="372"/>
      <c r="N31" s="372"/>
      <c r="O31" s="372"/>
      <c r="P31" s="372"/>
      <c r="Q31" s="372"/>
      <c r="R31" s="373"/>
      <c r="S31" s="131"/>
    </row>
    <row r="32" ht="20.1" customHeight="1" s="19" customFormat="1">
      <c r="A32" s="125"/>
      <c r="B32" s="372"/>
      <c r="C32" s="372"/>
      <c r="D32" s="372"/>
      <c r="E32" s="372"/>
      <c r="F32" s="372"/>
      <c r="G32" s="372"/>
      <c r="H32" s="372"/>
      <c r="I32" s="372"/>
      <c r="J32" s="372"/>
      <c r="K32" s="372"/>
      <c r="L32" s="372"/>
      <c r="M32" s="372"/>
      <c r="N32" s="372"/>
      <c r="O32" s="372"/>
      <c r="P32" s="372"/>
      <c r="Q32" s="372"/>
      <c r="R32" s="373"/>
      <c r="S32" s="131"/>
    </row>
    <row r="33" ht="20.1" customHeight="1" s="19" customFormat="1">
      <c r="A33" s="125"/>
      <c r="B33" s="372"/>
      <c r="C33" s="372"/>
      <c r="D33" s="372"/>
      <c r="E33" s="372"/>
      <c r="F33" s="372"/>
      <c r="G33" s="372"/>
      <c r="H33" s="372"/>
      <c r="I33" s="372"/>
      <c r="J33" s="372"/>
      <c r="K33" s="372"/>
      <c r="L33" s="372"/>
      <c r="M33" s="372"/>
      <c r="N33" s="372"/>
      <c r="O33" s="372"/>
      <c r="P33" s="372"/>
      <c r="Q33" s="372"/>
      <c r="R33" s="373"/>
      <c r="S33" s="131"/>
    </row>
    <row r="34" ht="20.1" customHeight="1" s="19" customFormat="1">
      <c r="A34" s="125"/>
      <c r="B34" s="372"/>
      <c r="C34" s="372"/>
      <c r="D34" s="372"/>
      <c r="E34" s="372"/>
      <c r="F34" s="372"/>
      <c r="G34" s="372"/>
      <c r="H34" s="372"/>
      <c r="I34" s="372"/>
      <c r="J34" s="372"/>
      <c r="K34" s="372"/>
      <c r="L34" s="372"/>
      <c r="M34" s="372"/>
      <c r="N34" s="372"/>
      <c r="O34" s="372"/>
      <c r="P34" s="372"/>
      <c r="Q34" s="372"/>
      <c r="R34" s="373"/>
      <c r="S34" s="131"/>
    </row>
    <row r="35" ht="20.1" customHeight="1" s="19" customFormat="1">
      <c r="A35" s="125"/>
      <c r="B35" s="372"/>
      <c r="C35" s="372"/>
      <c r="D35" s="372"/>
      <c r="E35" s="372"/>
      <c r="F35" s="372"/>
      <c r="G35" s="372"/>
      <c r="H35" s="372"/>
      <c r="I35" s="372"/>
      <c r="J35" s="372"/>
      <c r="K35" s="372"/>
      <c r="L35" s="372"/>
      <c r="M35" s="372"/>
      <c r="N35" s="372"/>
      <c r="O35" s="372"/>
      <c r="P35" s="372"/>
      <c r="Q35" s="372"/>
      <c r="R35" s="373"/>
      <c r="S35" s="131"/>
    </row>
    <row r="36" ht="20.1" customHeight="1" s="19" customFormat="1">
      <c r="A36" s="153"/>
      <c r="B36" s="372"/>
      <c r="C36" s="372"/>
      <c r="D36" s="372"/>
      <c r="E36" s="372"/>
      <c r="F36" s="372"/>
      <c r="G36" s="372"/>
      <c r="H36" s="372"/>
      <c r="I36" s="372"/>
      <c r="J36" s="372"/>
      <c r="K36" s="372"/>
      <c r="L36" s="372"/>
      <c r="M36" s="372"/>
      <c r="N36" s="372"/>
      <c r="O36" s="372"/>
      <c r="P36" s="372"/>
      <c r="Q36" s="372"/>
      <c r="R36" s="373"/>
      <c r="S36" s="131"/>
    </row>
    <row r="37" ht="20.1" customHeight="1" s="20" customFormat="1">
      <c r="A37" s="399" t="s">
        <v>77</v>
      </c>
      <c r="B37" s="400"/>
      <c r="C37" s="400"/>
      <c r="D37" s="400"/>
      <c r="E37" s="400"/>
      <c r="F37" s="400"/>
      <c r="G37" s="400"/>
      <c r="H37" s="401"/>
      <c r="I37" s="399" t="s">
        <v>78</v>
      </c>
      <c r="J37" s="400"/>
      <c r="K37" s="400"/>
      <c r="L37" s="400"/>
      <c r="M37" s="400"/>
      <c r="N37" s="400"/>
      <c r="O37" s="400"/>
      <c r="P37" s="400"/>
      <c r="Q37" s="400"/>
      <c r="R37" s="401"/>
      <c r="S37" s="131"/>
    </row>
    <row r="38" ht="20.1" customHeight="1" s="21" customFormat="1">
      <c r="A38" s="133" t="s">
        <v>6</v>
      </c>
      <c r="B38" s="134" t="s">
        <v>15</v>
      </c>
      <c r="C38" s="134" t="s">
        <v>16</v>
      </c>
      <c r="D38" s="135" t="s">
        <v>18</v>
      </c>
      <c r="E38" s="136" t="s">
        <v>6</v>
      </c>
      <c r="F38" s="134" t="s">
        <v>15</v>
      </c>
      <c r="G38" s="134" t="s">
        <v>16</v>
      </c>
      <c r="H38" s="137" t="s">
        <v>18</v>
      </c>
      <c r="I38" s="133" t="s">
        <v>6</v>
      </c>
      <c r="J38" s="355" t="s">
        <v>7</v>
      </c>
      <c r="K38" s="356"/>
      <c r="L38" s="135" t="s">
        <v>24</v>
      </c>
      <c r="M38" s="136" t="s">
        <v>6</v>
      </c>
      <c r="N38" s="355" t="s">
        <v>7</v>
      </c>
      <c r="O38" s="381"/>
      <c r="P38" s="381"/>
      <c r="Q38" s="356"/>
      <c r="R38" s="137" t="s">
        <v>24</v>
      </c>
      <c r="S38" s="131"/>
    </row>
    <row r="39" ht="20.1" customHeight="1" s="19" customFormat="1">
      <c r="A39" s="36" t="s">
        <v>52</v>
      </c>
      <c r="B39" s="124" t="s">
        <v>52</v>
      </c>
      <c r="C39" s="143" t="s">
        <v>52</v>
      </c>
      <c r="D39" s="144" t="s">
        <v>52</v>
      </c>
      <c r="E39" s="145" t="s">
        <v>52</v>
      </c>
      <c r="F39" s="124" t="s">
        <v>52</v>
      </c>
      <c r="G39" s="143" t="s">
        <v>52</v>
      </c>
      <c r="H39" s="146" t="s">
        <v>52</v>
      </c>
      <c r="I39" s="36"/>
      <c r="J39" s="340"/>
      <c r="K39" s="342"/>
      <c r="L39" s="144"/>
      <c r="M39" s="145"/>
      <c r="N39" s="340"/>
      <c r="O39" s="341"/>
      <c r="P39" s="341"/>
      <c r="Q39" s="342"/>
      <c r="R39" s="37"/>
      <c r="S39" s="131"/>
    </row>
    <row r="40" ht="20.1" customHeight="1" s="19" customFormat="1">
      <c r="A40" s="36"/>
      <c r="B40" s="124"/>
      <c r="C40" s="143"/>
      <c r="D40" s="144"/>
      <c r="E40" s="145"/>
      <c r="F40" s="124"/>
      <c r="G40" s="143"/>
      <c r="H40" s="146"/>
      <c r="I40" s="36"/>
      <c r="J40" s="340"/>
      <c r="K40" s="342"/>
      <c r="L40" s="144"/>
      <c r="M40" s="145"/>
      <c r="N40" s="340"/>
      <c r="O40" s="341"/>
      <c r="P40" s="341"/>
      <c r="Q40" s="342"/>
      <c r="R40" s="37"/>
      <c r="S40" s="131"/>
    </row>
    <row r="41" ht="20.1" customHeight="1" s="19" customFormat="1">
      <c r="A41" s="36"/>
      <c r="B41" s="124"/>
      <c r="C41" s="143"/>
      <c r="D41" s="144"/>
      <c r="E41" s="145"/>
      <c r="F41" s="124"/>
      <c r="G41" s="143"/>
      <c r="H41" s="146"/>
      <c r="I41" s="36"/>
      <c r="J41" s="340"/>
      <c r="K41" s="342"/>
      <c r="L41" s="144"/>
      <c r="M41" s="145"/>
      <c r="N41" s="340"/>
      <c r="O41" s="341"/>
      <c r="P41" s="341"/>
      <c r="Q41" s="342"/>
      <c r="R41" s="37"/>
      <c r="S41" s="131"/>
    </row>
    <row r="42" ht="20.1" customHeight="1" s="19" customFormat="1">
      <c r="A42" s="36"/>
      <c r="B42" s="124"/>
      <c r="C42" s="143"/>
      <c r="D42" s="144"/>
      <c r="E42" s="145"/>
      <c r="F42" s="124"/>
      <c r="G42" s="143"/>
      <c r="H42" s="146"/>
      <c r="I42" s="36"/>
      <c r="J42" s="340"/>
      <c r="K42" s="342"/>
      <c r="L42" s="144"/>
      <c r="M42" s="145"/>
      <c r="N42" s="340"/>
      <c r="O42" s="341"/>
      <c r="P42" s="341"/>
      <c r="Q42" s="342"/>
      <c r="R42" s="37"/>
      <c r="S42" s="131"/>
    </row>
    <row r="43" ht="20.1" customHeight="1" s="19" customFormat="1">
      <c r="A43" s="36"/>
      <c r="B43" s="124"/>
      <c r="C43" s="143"/>
      <c r="D43" s="144"/>
      <c r="E43" s="145"/>
      <c r="F43" s="124"/>
      <c r="G43" s="143"/>
      <c r="H43" s="146"/>
      <c r="I43" s="36"/>
      <c r="J43" s="340"/>
      <c r="K43" s="342"/>
      <c r="L43" s="144"/>
      <c r="M43" s="145"/>
      <c r="N43" s="340"/>
      <c r="O43" s="341"/>
      <c r="P43" s="341"/>
      <c r="Q43" s="342"/>
      <c r="R43" s="37"/>
      <c r="S43" s="131"/>
    </row>
    <row r="44" ht="20.1" customHeight="1" s="19" customFormat="1">
      <c r="A44" s="36"/>
      <c r="B44" s="124"/>
      <c r="C44" s="143"/>
      <c r="D44" s="144"/>
      <c r="E44" s="145"/>
      <c r="F44" s="124"/>
      <c r="G44" s="143"/>
      <c r="H44" s="146"/>
      <c r="I44" s="36"/>
      <c r="J44" s="340"/>
      <c r="K44" s="342"/>
      <c r="L44" s="144"/>
      <c r="M44" s="145"/>
      <c r="N44" s="340"/>
      <c r="O44" s="341"/>
      <c r="P44" s="341"/>
      <c r="Q44" s="342"/>
      <c r="R44" s="37"/>
      <c r="S44" s="131"/>
    </row>
    <row r="45" ht="20.1" customHeight="1" s="19" customFormat="1">
      <c r="A45" s="36"/>
      <c r="B45" s="124"/>
      <c r="C45" s="143"/>
      <c r="D45" s="144"/>
      <c r="E45" s="145"/>
      <c r="F45" s="124"/>
      <c r="G45" s="143"/>
      <c r="H45" s="146"/>
      <c r="I45" s="36"/>
      <c r="J45" s="340"/>
      <c r="K45" s="342"/>
      <c r="L45" s="144"/>
      <c r="M45" s="145"/>
      <c r="N45" s="340"/>
      <c r="O45" s="341"/>
      <c r="P45" s="341"/>
      <c r="Q45" s="342"/>
      <c r="R45" s="37"/>
      <c r="S45" s="131"/>
    </row>
    <row r="46" ht="20.1" customHeight="1" s="19" customFormat="1">
      <c r="A46" s="36"/>
      <c r="B46" s="124"/>
      <c r="C46" s="143"/>
      <c r="D46" s="144"/>
      <c r="E46" s="145"/>
      <c r="F46" s="124"/>
      <c r="G46" s="143"/>
      <c r="H46" s="146"/>
      <c r="I46" s="36"/>
      <c r="J46" s="340"/>
      <c r="K46" s="342"/>
      <c r="L46" s="144"/>
      <c r="M46" s="145"/>
      <c r="N46" s="340"/>
      <c r="O46" s="341"/>
      <c r="P46" s="341"/>
      <c r="Q46" s="342"/>
      <c r="R46" s="37"/>
      <c r="S46" s="131"/>
    </row>
    <row r="47" ht="20.1" customHeight="1" s="19" customFormat="1">
      <c r="A47" s="36"/>
      <c r="B47" s="124"/>
      <c r="C47" s="143"/>
      <c r="D47" s="144"/>
      <c r="E47" s="145"/>
      <c r="F47" s="124"/>
      <c r="G47" s="143"/>
      <c r="H47" s="146"/>
      <c r="I47" s="36"/>
      <c r="J47" s="340"/>
      <c r="K47" s="342"/>
      <c r="L47" s="144"/>
      <c r="M47" s="145"/>
      <c r="N47" s="340"/>
      <c r="O47" s="341"/>
      <c r="P47" s="341"/>
      <c r="Q47" s="342"/>
      <c r="R47" s="37"/>
      <c r="S47" s="131"/>
    </row>
    <row r="48" ht="20.1" customHeight="1" s="19" customFormat="1">
      <c r="A48" s="36"/>
      <c r="B48" s="124"/>
      <c r="C48" s="143"/>
      <c r="D48" s="144"/>
      <c r="E48" s="145"/>
      <c r="F48" s="124"/>
      <c r="G48" s="143"/>
      <c r="H48" s="146"/>
      <c r="I48" s="36"/>
      <c r="J48" s="340"/>
      <c r="K48" s="342"/>
      <c r="L48" s="144"/>
      <c r="M48" s="145"/>
      <c r="N48" s="340"/>
      <c r="O48" s="341"/>
      <c r="P48" s="341"/>
      <c r="Q48" s="342"/>
      <c r="R48" s="37"/>
      <c r="S48" s="131"/>
    </row>
    <row r="49" ht="20.1" customHeight="1" s="19" customFormat="1">
      <c r="A49" s="36"/>
      <c r="B49" s="124"/>
      <c r="C49" s="143"/>
      <c r="D49" s="144"/>
      <c r="E49" s="145"/>
      <c r="F49" s="124"/>
      <c r="G49" s="143"/>
      <c r="H49" s="146"/>
      <c r="I49" s="36"/>
      <c r="J49" s="340"/>
      <c r="K49" s="342"/>
      <c r="L49" s="144"/>
      <c r="M49" s="145"/>
      <c r="N49" s="340"/>
      <c r="O49" s="341"/>
      <c r="P49" s="341"/>
      <c r="Q49" s="342"/>
      <c r="R49" s="37"/>
      <c r="S49" s="131"/>
    </row>
    <row r="50" ht="20.1" customHeight="1" s="19" customFormat="1">
      <c r="A50" s="36"/>
      <c r="B50" s="124"/>
      <c r="C50" s="143"/>
      <c r="D50" s="144"/>
      <c r="E50" s="145"/>
      <c r="F50" s="124"/>
      <c r="G50" s="143"/>
      <c r="H50" s="146"/>
      <c r="I50" s="36"/>
      <c r="J50" s="340"/>
      <c r="K50" s="342"/>
      <c r="L50" s="144"/>
      <c r="M50" s="145"/>
      <c r="N50" s="340"/>
      <c r="O50" s="341"/>
      <c r="P50" s="341"/>
      <c r="Q50" s="342"/>
      <c r="R50" s="37"/>
      <c r="S50" s="131"/>
    </row>
    <row r="51" ht="20.1" customHeight="1" s="19" customFormat="1">
      <c r="A51" s="36"/>
      <c r="B51" s="124"/>
      <c r="C51" s="143"/>
      <c r="D51" s="144"/>
      <c r="E51" s="145"/>
      <c r="F51" s="124"/>
      <c r="G51" s="143"/>
      <c r="H51" s="146"/>
      <c r="I51" s="36"/>
      <c r="J51" s="340"/>
      <c r="K51" s="342"/>
      <c r="L51" s="144"/>
      <c r="M51" s="145"/>
      <c r="N51" s="340"/>
      <c r="O51" s="341"/>
      <c r="P51" s="341"/>
      <c r="Q51" s="342"/>
      <c r="R51" s="37"/>
      <c r="S51" s="131"/>
    </row>
    <row r="52" ht="20.1" customHeight="1" s="19" customFormat="1">
      <c r="A52" s="36"/>
      <c r="B52" s="124"/>
      <c r="C52" s="143"/>
      <c r="D52" s="144"/>
      <c r="E52" s="145"/>
      <c r="F52" s="124"/>
      <c r="G52" s="143"/>
      <c r="H52" s="146"/>
      <c r="I52" s="36"/>
      <c r="J52" s="340"/>
      <c r="K52" s="342"/>
      <c r="L52" s="144"/>
      <c r="M52" s="145"/>
      <c r="N52" s="340"/>
      <c r="O52" s="341"/>
      <c r="P52" s="341"/>
      <c r="Q52" s="342"/>
      <c r="R52" s="37"/>
      <c r="S52" s="131"/>
    </row>
    <row r="53" ht="20.1" customHeight="1" s="19" customFormat="1">
      <c r="A53" s="147"/>
      <c r="B53" s="148"/>
      <c r="C53" s="149"/>
      <c r="D53" s="150"/>
      <c r="E53" s="151"/>
      <c r="F53" s="148"/>
      <c r="G53" s="149"/>
      <c r="H53" s="152"/>
      <c r="I53" s="147"/>
      <c r="J53" s="340"/>
      <c r="K53" s="342"/>
      <c r="L53" s="150"/>
      <c r="M53" s="151"/>
      <c r="N53" s="340"/>
      <c r="O53" s="341"/>
      <c r="P53" s="341"/>
      <c r="Q53" s="342"/>
      <c r="R53" s="37"/>
      <c r="S53" s="131"/>
    </row>
    <row r="54" ht="20.1" customHeight="1" s="19" customFormat="1">
      <c r="A54" s="404" t="s">
        <v>14</v>
      </c>
      <c r="B54" s="405"/>
      <c r="C54" s="402">
        <v>0</v>
      </c>
      <c r="D54" s="403"/>
      <c r="E54" s="392" t="s">
        <v>79</v>
      </c>
      <c r="F54" s="393"/>
      <c r="G54" s="393"/>
      <c r="H54" s="393"/>
      <c r="I54" s="393"/>
      <c r="J54" s="393"/>
      <c r="K54" s="393"/>
      <c r="L54" s="393"/>
      <c r="M54" s="393"/>
      <c r="N54" s="393"/>
      <c r="O54" s="393"/>
      <c r="P54" s="393"/>
      <c r="Q54" s="393"/>
      <c r="R54" s="393"/>
      <c r="S54" s="131"/>
    </row>
    <row r="55" ht="20.1" customHeight="1" s="19" customForma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391" t="s">
        <v>80</v>
      </c>
      <c r="N55" s="391"/>
      <c r="O55" s="391"/>
      <c r="P55" s="391"/>
      <c r="Q55" s="391"/>
      <c r="R55" s="391"/>
      <c r="S55" s="131"/>
    </row>
    <row r="56" ht="17.45" customHeight="1" s="19" customFormat="1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28"/>
      <c r="S56" s="131"/>
    </row>
    <row r="57" ht="17.45" customHeight="1" s="19" customFormat="1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M57" s="18"/>
      <c r="N57" s="18"/>
      <c r="O57" s="18"/>
      <c r="P57" s="18"/>
      <c r="Q57" s="18"/>
      <c r="R57" s="128"/>
      <c r="S57" s="131"/>
    </row>
    <row r="58" ht="17.45" customHeight="1" s="19" customFormat="1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28"/>
      <c r="S58" s="131"/>
    </row>
    <row r="59" ht="17.45" customHeight="1" s="19" customFormat="1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28"/>
      <c r="S59" s="131"/>
    </row>
    <row r="60" ht="15" s="19" customFormat="1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28"/>
      <c r="S60" s="131"/>
    </row>
    <row r="61" ht="15" s="19" customFormat="1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28"/>
      <c r="S61" s="131"/>
    </row>
    <row r="62" ht="15" s="19" customForma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28"/>
      <c r="S62" s="131"/>
    </row>
    <row r="63" ht="15" s="19" customFormat="1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28"/>
      <c r="S63" s="131"/>
    </row>
  </sheetData>
  <dataConsolidate/>
  <mergeCells>
    <mergeCell ref="B26:R26"/>
    <mergeCell ref="B32:R32"/>
    <mergeCell ref="N41:Q41"/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  <mergeCell ref="J47:K47"/>
    <mergeCell ref="M55:R55"/>
    <mergeCell ref="E54:R54"/>
    <mergeCell ref="J44:K44"/>
    <mergeCell ref="A8:C8"/>
    <mergeCell ref="A9:C9"/>
    <mergeCell ref="D9:F9"/>
    <mergeCell ref="G8:H8"/>
    <mergeCell ref="K12:R12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C13:E13"/>
    <mergeCell ref="F13:R13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B15:R15"/>
    <mergeCell ref="B34:R34"/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I2:L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  <mergeCell ref="A6:C7"/>
  </mergeCells>
  <phoneticPr fontId="0" type="noConversion"/>
  <dataValidations count="2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</dataValidations>
  <printOptions horizontalCentered="1"/>
  <pageMargins left="0.25" right="0.25" top="0.75" bottom="0.25" header="0.5" footer="0.5"/>
  <pageSetup scale="63" orientation="portrait" horizontalDpi="300" verticalDpi="300"/>
  <headerFooter alignWithMargins="0">
    <oddHeader>&amp;C&amp;"Arial,Bold"&amp;14NMBS ESTIMATE COVER SHEET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2.75" x14ac:dyDescent="0.2"/>
  <sheetData>
    <row r="1">
      <c r="A1" s="420" t="s">
        <v>238</v>
      </c>
      <c r="B1" s="420" t="s">
        <v>239</v>
      </c>
      <c r="C1" s="420" t="s">
        <v>240</v>
      </c>
    </row>
  </sheetData>
  <pageMargins left="0.7" right="0.7" top="0.75" bottom="0.75" header="0.3" footer="0.3"/>
  <pageSetup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C55"/>
  <sheetViews>
    <sheetView zoomScaleNormal="100" workbookViewId="0">
      <selection activeCell="V13" sqref="V13"/>
    </sheetView>
  </sheetViews>
  <sheetFormatPr defaultRowHeight="12.75" x14ac:dyDescent="0.2"/>
  <cols>
    <col min="1" max="1" width="9.7109375" customWidth="1" style="9"/>
    <col min="2" max="2" width="8.7109375" customWidth="1" style="9"/>
    <col min="3" max="3" width="22.7109375" customWidth="1" style="9"/>
    <col min="4" max="4" width="6.7109375" customWidth="1" style="9"/>
    <col min="5" max="5" width="7.7109375" customWidth="1" style="9"/>
    <col min="6" max="6" width="6.28515625" customWidth="1" style="9"/>
    <col min="7" max="7" width="5.7109375" customWidth="1" style="9"/>
    <col min="8" max="8" width="7.7109375" customWidth="1" style="9"/>
    <col min="9" max="9" width="6.28515625" customWidth="1" style="9"/>
    <col min="10" max="10" width="5.7109375" customWidth="1" style="9"/>
    <col min="11" max="15" width="7.7109375" customWidth="1" style="9"/>
    <col min="16" max="18" width="6.7109375" customWidth="1" style="9"/>
    <col min="19" max="19" width="10.7109375" customWidth="1" style="9"/>
    <col min="20" max="20" width="6.7109375" customWidth="1" style="9"/>
    <col min="21" max="21" width="7.7109375" customWidth="1" style="9"/>
    <col min="22" max="22" width="10.7109375" customWidth="1" style="9"/>
    <col min="23" max="23" width="6.7109375" customWidth="1" style="9"/>
    <col min="24" max="24" width="7.7109375" customWidth="1" style="9"/>
    <col min="25" max="25" bestFit="1" width="7.5703125" customWidth="1" style="9"/>
    <col min="26" max="27" width="7.7109375" customWidth="1" style="9"/>
    <col min="28" max="28" width="6.7109375" customWidth="1" style="9"/>
    <col min="29" max="29" width="7.7109375" customWidth="1" style="9"/>
    <col min="30" max="16384" width="9.140625" customWidth="1" style="9"/>
  </cols>
  <sheetData>
    <row r="1" ht="20.1" customHeight="1" s="10" customFormat="1">
      <c r="A1" s="244" t="s">
        <v>0</v>
      </c>
      <c r="B1" s="245"/>
      <c r="C1" s="274" t="str">
        <f>IF(ISBLANK(INDIRECT("Cover!D3")),"",INDIRECT("Cover!D3"))</f>
        <v>*</v>
      </c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4"/>
      <c r="U1" s="274"/>
      <c r="V1" s="274"/>
      <c r="W1" s="274"/>
      <c r="X1" s="274"/>
      <c r="Y1" s="274"/>
      <c r="Z1" s="23" t="s">
        <v>22</v>
      </c>
      <c r="AA1" s="256" t="str">
        <f>IF(ISBLANK(INDIRECT("Cover!O2")),"",INDIRECT("Cover!O2"))</f>
        <v>*</v>
      </c>
      <c r="AB1" s="256"/>
      <c r="AC1" s="257"/>
    </row>
    <row r="2" ht="20.1" customHeight="1" s="10" customFormat="1">
      <c r="A2" s="246" t="s">
        <v>2</v>
      </c>
      <c r="B2" s="247"/>
      <c r="C2" s="281" t="str">
        <f>IF(ISBLANK(INDIRECT("Cover!D4")),"",INDIRECT("Cover!D4"))</f>
        <v>*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2"/>
      <c r="AA2" s="59"/>
      <c r="AB2" s="33"/>
      <c r="AC2" s="165"/>
    </row>
    <row r="3" ht="20.1" customHeight="1" s="10" customFormat="1">
      <c r="A3" s="279" t="s">
        <v>23</v>
      </c>
      <c r="B3" s="279" t="s">
        <v>24</v>
      </c>
      <c r="C3" s="279" t="s">
        <v>25</v>
      </c>
      <c r="D3" s="266" t="s">
        <v>26</v>
      </c>
      <c r="E3" s="267"/>
      <c r="F3" s="264" t="s">
        <v>27</v>
      </c>
      <c r="G3" s="265"/>
      <c r="H3" s="265"/>
      <c r="I3" s="264" t="s">
        <v>28</v>
      </c>
      <c r="J3" s="265"/>
      <c r="K3" s="265"/>
      <c r="L3" s="264" t="s">
        <v>29</v>
      </c>
      <c r="M3" s="275"/>
      <c r="N3" s="24" t="s">
        <v>30</v>
      </c>
      <c r="O3" s="24" t="s">
        <v>31</v>
      </c>
      <c r="P3" s="278" t="s">
        <v>32</v>
      </c>
      <c r="Q3" s="265"/>
      <c r="R3" s="275"/>
      <c r="S3" s="264" t="s">
        <v>33</v>
      </c>
      <c r="T3" s="265"/>
      <c r="U3" s="265"/>
      <c r="V3" s="264" t="s">
        <v>34</v>
      </c>
      <c r="W3" s="265"/>
      <c r="X3" s="275"/>
      <c r="Y3" s="272" t="s">
        <v>35</v>
      </c>
      <c r="Z3" s="258" t="s">
        <v>36</v>
      </c>
      <c r="AA3" s="259"/>
      <c r="AB3" s="259"/>
      <c r="AC3" s="260"/>
    </row>
    <row r="4" ht="20.1" customHeight="1" s="10" customFormat="1">
      <c r="A4" s="280"/>
      <c r="B4" s="280"/>
      <c r="C4" s="280"/>
      <c r="D4" s="268"/>
      <c r="E4" s="269"/>
      <c r="F4" s="61" t="s">
        <v>37</v>
      </c>
      <c r="G4" s="270" t="s">
        <v>9</v>
      </c>
      <c r="H4" s="271"/>
      <c r="I4" s="61" t="s">
        <v>37</v>
      </c>
      <c r="J4" s="270" t="s">
        <v>9</v>
      </c>
      <c r="K4" s="271"/>
      <c r="L4" s="61" t="s">
        <v>38</v>
      </c>
      <c r="M4" s="62" t="s">
        <v>39</v>
      </c>
      <c r="N4" s="60" t="s">
        <v>40</v>
      </c>
      <c r="O4" s="169" t="s">
        <v>41</v>
      </c>
      <c r="P4" s="158" t="s">
        <v>7</v>
      </c>
      <c r="Q4" s="175" t="s">
        <v>42</v>
      </c>
      <c r="R4" s="155" t="s">
        <v>43</v>
      </c>
      <c r="S4" s="61" t="s">
        <v>44</v>
      </c>
      <c r="T4" s="270" t="s">
        <v>45</v>
      </c>
      <c r="U4" s="271"/>
      <c r="V4" s="61" t="s">
        <v>44</v>
      </c>
      <c r="W4" s="270" t="s">
        <v>45</v>
      </c>
      <c r="X4" s="271"/>
      <c r="Y4" s="273"/>
      <c r="Z4" s="261"/>
      <c r="AA4" s="262"/>
      <c r="AB4" s="262"/>
      <c r="AC4" s="263"/>
    </row>
    <row r="5" ht="20.1" customHeight="1" s="10" customFormat="1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230"/>
      <c r="P5" s="177"/>
      <c r="Q5" s="176" t="s">
        <v>46</v>
      </c>
      <c r="R5" s="156"/>
      <c r="S5" s="166"/>
      <c r="T5" s="159"/>
      <c r="U5" s="160"/>
      <c r="V5" s="166"/>
      <c r="W5" s="159"/>
      <c r="X5" s="160"/>
      <c r="Y5" s="162"/>
      <c r="Z5" s="290"/>
      <c r="AA5" s="291"/>
      <c r="AB5" s="291"/>
      <c r="AC5" s="292"/>
    </row>
    <row r="6" ht="20.1" customHeight="1" s="10" customFormat="1">
      <c r="A6" s="63"/>
      <c r="B6" s="64"/>
      <c r="C6" s="63"/>
      <c r="D6" s="65"/>
      <c r="E6" s="66"/>
      <c r="F6" s="67"/>
      <c r="G6" s="42"/>
      <c r="H6" s="68"/>
      <c r="I6" s="67"/>
      <c r="J6" s="42"/>
      <c r="K6" s="68"/>
      <c r="L6" s="69"/>
      <c r="M6" s="70"/>
      <c r="N6" s="71"/>
      <c r="O6" s="173"/>
      <c r="P6" s="178"/>
      <c r="Q6" s="170"/>
      <c r="R6" s="157"/>
      <c r="S6" s="167"/>
      <c r="T6" s="42"/>
      <c r="U6" s="68"/>
      <c r="V6" s="167"/>
      <c r="W6" s="42"/>
      <c r="X6" s="68"/>
      <c r="Y6" s="161"/>
      <c r="Z6" s="253"/>
      <c r="AA6" s="254"/>
      <c r="AB6" s="254"/>
      <c r="AC6" s="255"/>
    </row>
    <row r="7" ht="20.1" customHeight="1" s="19" customFormat="1">
      <c r="A7" s="63"/>
      <c r="B7" s="64"/>
      <c r="C7" s="63"/>
      <c r="D7" s="65"/>
      <c r="E7" s="66"/>
      <c r="F7" s="67"/>
      <c r="G7" s="42"/>
      <c r="H7" s="68"/>
      <c r="I7" s="67"/>
      <c r="J7" s="42"/>
      <c r="K7" s="68"/>
      <c r="L7" s="69"/>
      <c r="M7" s="70"/>
      <c r="N7" s="71"/>
      <c r="O7" s="173"/>
      <c r="P7" s="178"/>
      <c r="Q7" s="170"/>
      <c r="R7" s="157"/>
      <c r="S7" s="167"/>
      <c r="T7" s="42"/>
      <c r="U7" s="68"/>
      <c r="V7" s="167"/>
      <c r="W7" s="42"/>
      <c r="X7" s="68"/>
      <c r="Y7" s="161"/>
      <c r="Z7" s="253"/>
      <c r="AA7" s="254"/>
      <c r="AB7" s="254"/>
      <c r="AC7" s="255"/>
    </row>
    <row r="8" ht="20.1" customHeight="1" s="19" customFormat="1">
      <c r="A8" s="63"/>
      <c r="B8" s="64"/>
      <c r="C8" s="63"/>
      <c r="D8" s="65"/>
      <c r="E8" s="66"/>
      <c r="F8" s="67"/>
      <c r="G8" s="42"/>
      <c r="H8" s="68"/>
      <c r="I8" s="67"/>
      <c r="J8" s="42"/>
      <c r="K8" s="68"/>
      <c r="L8" s="69"/>
      <c r="M8" s="70"/>
      <c r="N8" s="71"/>
      <c r="O8" s="173"/>
      <c r="P8" s="178"/>
      <c r="Q8" s="170"/>
      <c r="R8" s="157"/>
      <c r="S8" s="167"/>
      <c r="T8" s="42"/>
      <c r="U8" s="68"/>
      <c r="V8" s="167"/>
      <c r="W8" s="42"/>
      <c r="X8" s="68"/>
      <c r="Y8" s="161"/>
      <c r="Z8" s="253"/>
      <c r="AA8" s="254"/>
      <c r="AB8" s="254"/>
      <c r="AC8" s="255"/>
    </row>
    <row r="9" ht="20.1" customHeight="1" s="19" customFormat="1">
      <c r="A9" s="63"/>
      <c r="B9" s="64"/>
      <c r="C9" s="63"/>
      <c r="D9" s="65"/>
      <c r="E9" s="66"/>
      <c r="F9" s="67"/>
      <c r="G9" s="42"/>
      <c r="H9" s="68"/>
      <c r="I9" s="67"/>
      <c r="J9" s="42"/>
      <c r="K9" s="68"/>
      <c r="L9" s="69"/>
      <c r="M9" s="70"/>
      <c r="N9" s="71"/>
      <c r="O9" s="173"/>
      <c r="P9" s="178"/>
      <c r="Q9" s="232"/>
      <c r="R9" s="157"/>
      <c r="S9" s="167"/>
      <c r="T9" s="42"/>
      <c r="U9" s="68"/>
      <c r="V9" s="167"/>
      <c r="W9" s="42"/>
      <c r="X9" s="68"/>
      <c r="Y9" s="161"/>
      <c r="Z9" s="253"/>
      <c r="AA9" s="254"/>
      <c r="AB9" s="254"/>
      <c r="AC9" s="255"/>
    </row>
    <row r="10" ht="19.5" customHeight="1" s="19" customFormat="1">
      <c r="A10" s="63"/>
      <c r="B10" s="64"/>
      <c r="C10" s="63"/>
      <c r="D10" s="65"/>
      <c r="E10" s="66"/>
      <c r="F10" s="67"/>
      <c r="G10" s="42"/>
      <c r="H10" s="68"/>
      <c r="I10" s="67"/>
      <c r="J10" s="42"/>
      <c r="K10" s="68"/>
      <c r="L10" s="69"/>
      <c r="M10" s="70"/>
      <c r="N10" s="71"/>
      <c r="O10" s="173"/>
      <c r="P10" s="178"/>
      <c r="Q10" s="231"/>
      <c r="R10" s="157"/>
      <c r="S10" s="167"/>
      <c r="T10" s="42"/>
      <c r="U10" s="68"/>
      <c r="V10" s="167"/>
      <c r="W10" s="42"/>
      <c r="X10" s="68"/>
      <c r="Y10" s="161"/>
      <c r="Z10" s="253"/>
      <c r="AA10" s="254"/>
      <c r="AB10" s="254"/>
      <c r="AC10" s="255"/>
    </row>
    <row r="11" ht="20.1" customHeight="1" s="19" customFormat="1">
      <c r="A11" s="63"/>
      <c r="B11" s="64"/>
      <c r="C11" s="63"/>
      <c r="D11" s="65"/>
      <c r="E11" s="66"/>
      <c r="F11" s="67"/>
      <c r="G11" s="42"/>
      <c r="H11" s="68"/>
      <c r="I11" s="67"/>
      <c r="J11" s="42"/>
      <c r="K11" s="68"/>
      <c r="L11" s="69"/>
      <c r="M11" s="70"/>
      <c r="N11" s="71"/>
      <c r="O11" s="173"/>
      <c r="P11" s="178"/>
      <c r="Q11" s="170"/>
      <c r="R11" s="157"/>
      <c r="S11" s="167"/>
      <c r="T11" s="42"/>
      <c r="U11" s="68"/>
      <c r="V11" s="167"/>
      <c r="W11" s="42"/>
      <c r="X11" s="68"/>
      <c r="Y11" s="161"/>
      <c r="Z11" s="253"/>
      <c r="AA11" s="254"/>
      <c r="AB11" s="254"/>
      <c r="AC11" s="255"/>
    </row>
    <row r="12" ht="20.1" customHeight="1" s="19" customFormat="1">
      <c r="A12" s="63"/>
      <c r="B12" s="64"/>
      <c r="C12" s="63"/>
      <c r="D12" s="65"/>
      <c r="E12" s="66"/>
      <c r="F12" s="67"/>
      <c r="G12" s="42"/>
      <c r="H12" s="68"/>
      <c r="I12" s="67"/>
      <c r="J12" s="42"/>
      <c r="K12" s="68"/>
      <c r="L12" s="69"/>
      <c r="M12" s="70"/>
      <c r="N12" s="71"/>
      <c r="O12" s="173"/>
      <c r="P12" s="178"/>
      <c r="Q12" s="233"/>
      <c r="R12" s="157"/>
      <c r="S12" s="167"/>
      <c r="T12" s="42"/>
      <c r="U12" s="68"/>
      <c r="V12" s="167"/>
      <c r="W12" s="42"/>
      <c r="X12" s="68"/>
      <c r="Y12" s="161"/>
      <c r="Z12" s="253"/>
      <c r="AA12" s="254"/>
      <c r="AB12" s="254"/>
      <c r="AC12" s="255"/>
    </row>
    <row r="13" ht="20.1" customHeight="1" s="19" customFormat="1">
      <c r="A13" s="63"/>
      <c r="B13" s="64"/>
      <c r="C13" s="63"/>
      <c r="D13" s="65"/>
      <c r="E13" s="66"/>
      <c r="F13" s="67"/>
      <c r="G13" s="42"/>
      <c r="H13" s="68"/>
      <c r="I13" s="67"/>
      <c r="J13" s="42"/>
      <c r="K13" s="68"/>
      <c r="L13" s="69"/>
      <c r="M13" s="70"/>
      <c r="N13" s="71"/>
      <c r="O13" s="173"/>
      <c r="P13" s="178"/>
      <c r="Q13" s="170"/>
      <c r="R13" s="157"/>
      <c r="S13" s="167"/>
      <c r="T13" s="42"/>
      <c r="U13" s="68"/>
      <c r="V13" s="167"/>
      <c r="W13" s="42"/>
      <c r="X13" s="68"/>
      <c r="Y13" s="161"/>
      <c r="Z13" s="253"/>
      <c r="AA13" s="254"/>
      <c r="AB13" s="254"/>
      <c r="AC13" s="255"/>
    </row>
    <row r="14" ht="20.1" customHeight="1" s="19" customFormat="1">
      <c r="A14" s="63"/>
      <c r="B14" s="64"/>
      <c r="C14" s="63"/>
      <c r="D14" s="65"/>
      <c r="E14" s="66"/>
      <c r="F14" s="67"/>
      <c r="G14" s="42"/>
      <c r="H14" s="68"/>
      <c r="I14" s="67"/>
      <c r="J14" s="42"/>
      <c r="K14" s="68"/>
      <c r="L14" s="69"/>
      <c r="M14" s="70"/>
      <c r="N14" s="71"/>
      <c r="O14" s="173"/>
      <c r="P14" s="178"/>
      <c r="Q14" s="234"/>
      <c r="R14" s="157"/>
      <c r="S14" s="167"/>
      <c r="T14" s="42"/>
      <c r="U14" s="68"/>
      <c r="V14" s="167"/>
      <c r="W14" s="42"/>
      <c r="X14" s="68"/>
      <c r="Y14" s="161"/>
      <c r="Z14" s="253"/>
      <c r="AA14" s="254"/>
      <c r="AB14" s="254"/>
      <c r="AC14" s="255"/>
    </row>
    <row r="15" ht="20.1" customHeight="1" s="19" customFormat="1">
      <c r="A15" s="63"/>
      <c r="B15" s="64"/>
      <c r="C15" s="63"/>
      <c r="D15" s="65"/>
      <c r="E15" s="66"/>
      <c r="F15" s="67"/>
      <c r="G15" s="42"/>
      <c r="H15" s="68"/>
      <c r="I15" s="67"/>
      <c r="J15" s="42"/>
      <c r="K15" s="68"/>
      <c r="L15" s="69"/>
      <c r="M15" s="70"/>
      <c r="N15" s="71"/>
      <c r="O15" s="173"/>
      <c r="P15" s="178"/>
      <c r="Q15" s="232"/>
      <c r="R15" s="157"/>
      <c r="S15" s="167"/>
      <c r="T15" s="42"/>
      <c r="U15" s="68"/>
      <c r="V15" s="167"/>
      <c r="W15" s="42"/>
      <c r="X15" s="68"/>
      <c r="Y15" s="161"/>
      <c r="Z15" s="253"/>
      <c r="AA15" s="254"/>
      <c r="AB15" s="254"/>
      <c r="AC15" s="255"/>
    </row>
    <row r="16" ht="20.1" customHeight="1" s="19" customFormat="1">
      <c r="A16" s="63"/>
      <c r="B16" s="64"/>
      <c r="C16" s="63"/>
      <c r="D16" s="65"/>
      <c r="E16" s="66"/>
      <c r="F16" s="67"/>
      <c r="G16" s="42"/>
      <c r="H16" s="68"/>
      <c r="I16" s="67"/>
      <c r="J16" s="42"/>
      <c r="K16" s="68"/>
      <c r="L16" s="69"/>
      <c r="M16" s="70"/>
      <c r="N16" s="71"/>
      <c r="O16" s="173"/>
      <c r="P16" s="178"/>
      <c r="Q16" s="232"/>
      <c r="R16" s="157"/>
      <c r="S16" s="167"/>
      <c r="T16" s="42"/>
      <c r="U16" s="68"/>
      <c r="V16" s="167"/>
      <c r="W16" s="42"/>
      <c r="X16" s="68"/>
      <c r="Y16" s="161"/>
      <c r="Z16" s="253"/>
      <c r="AA16" s="254"/>
      <c r="AB16" s="254"/>
      <c r="AC16" s="255"/>
    </row>
    <row r="17" ht="20.1" customHeight="1" s="19" customFormat="1">
      <c r="A17" s="63"/>
      <c r="B17" s="64"/>
      <c r="C17" s="63"/>
      <c r="D17" s="65"/>
      <c r="E17" s="66"/>
      <c r="F17" s="67"/>
      <c r="G17" s="42"/>
      <c r="H17" s="68"/>
      <c r="I17" s="67"/>
      <c r="J17" s="42"/>
      <c r="K17" s="68"/>
      <c r="L17" s="69"/>
      <c r="M17" s="70"/>
      <c r="N17" s="71"/>
      <c r="O17" s="173"/>
      <c r="P17" s="178"/>
      <c r="Q17" s="232"/>
      <c r="R17" s="157"/>
      <c r="S17" s="167"/>
      <c r="T17" s="42"/>
      <c r="U17" s="68"/>
      <c r="V17" s="167"/>
      <c r="W17" s="42"/>
      <c r="X17" s="68"/>
      <c r="Y17" s="161"/>
      <c r="Z17" s="253"/>
      <c r="AA17" s="254"/>
      <c r="AB17" s="254"/>
      <c r="AC17" s="255"/>
    </row>
    <row r="18" ht="20.1" customHeight="1" s="19" customFormat="1">
      <c r="A18" s="63"/>
      <c r="B18" s="64"/>
      <c r="C18" s="63"/>
      <c r="D18" s="65"/>
      <c r="E18" s="66"/>
      <c r="F18" s="67"/>
      <c r="G18" s="42"/>
      <c r="H18" s="68"/>
      <c r="I18" s="67"/>
      <c r="J18" s="42"/>
      <c r="K18" s="68"/>
      <c r="L18" s="69"/>
      <c r="M18" s="70"/>
      <c r="N18" s="71"/>
      <c r="O18" s="173"/>
      <c r="P18" s="178"/>
      <c r="Q18" s="234"/>
      <c r="R18" s="157"/>
      <c r="S18" s="167"/>
      <c r="T18" s="42"/>
      <c r="U18" s="68"/>
      <c r="V18" s="167"/>
      <c r="W18" s="42"/>
      <c r="X18" s="68"/>
      <c r="Y18" s="161"/>
      <c r="Z18" s="253"/>
      <c r="AA18" s="254"/>
      <c r="AB18" s="254"/>
      <c r="AC18" s="255"/>
    </row>
    <row r="19" ht="20.1" customHeight="1" s="19" customFormat="1">
      <c r="A19" s="63"/>
      <c r="B19" s="64"/>
      <c r="C19" s="63"/>
      <c r="D19" s="65"/>
      <c r="E19" s="66"/>
      <c r="F19" s="67"/>
      <c r="G19" s="42"/>
      <c r="H19" s="68"/>
      <c r="I19" s="67"/>
      <c r="J19" s="42"/>
      <c r="K19" s="68"/>
      <c r="L19" s="69"/>
      <c r="M19" s="70"/>
      <c r="N19" s="71"/>
      <c r="O19" s="173"/>
      <c r="P19" s="178"/>
      <c r="Q19" s="170"/>
      <c r="R19" s="157"/>
      <c r="S19" s="167"/>
      <c r="T19" s="42"/>
      <c r="U19" s="68"/>
      <c r="V19" s="167"/>
      <c r="W19" s="42"/>
      <c r="X19" s="68"/>
      <c r="Y19" s="161"/>
      <c r="Z19" s="253"/>
      <c r="AA19" s="254"/>
      <c r="AB19" s="254"/>
      <c r="AC19" s="255"/>
    </row>
    <row r="20" ht="20.1" customHeight="1" s="19" customFormat="1">
      <c r="A20" s="63"/>
      <c r="B20" s="64"/>
      <c r="C20" s="63"/>
      <c r="D20" s="65"/>
      <c r="E20" s="66"/>
      <c r="F20" s="67"/>
      <c r="G20" s="42"/>
      <c r="H20" s="68"/>
      <c r="I20" s="67"/>
      <c r="J20" s="42"/>
      <c r="K20" s="68"/>
      <c r="L20" s="69"/>
      <c r="M20" s="70"/>
      <c r="N20" s="71"/>
      <c r="O20" s="173"/>
      <c r="P20" s="178"/>
      <c r="Q20" s="170"/>
      <c r="R20" s="157"/>
      <c r="S20" s="167"/>
      <c r="T20" s="42"/>
      <c r="U20" s="68"/>
      <c r="V20" s="167"/>
      <c r="W20" s="42"/>
      <c r="X20" s="68"/>
      <c r="Y20" s="161"/>
      <c r="Z20" s="253"/>
      <c r="AA20" s="254"/>
      <c r="AB20" s="254"/>
      <c r="AC20" s="255"/>
    </row>
    <row r="21" ht="20.1" customHeight="1" s="19" customFormat="1">
      <c r="A21" s="63"/>
      <c r="B21" s="64"/>
      <c r="C21" s="63"/>
      <c r="D21" s="65"/>
      <c r="E21" s="66"/>
      <c r="F21" s="67"/>
      <c r="G21" s="42"/>
      <c r="H21" s="68"/>
      <c r="I21" s="67"/>
      <c r="J21" s="42"/>
      <c r="K21" s="68"/>
      <c r="L21" s="69"/>
      <c r="M21" s="70"/>
      <c r="N21" s="71"/>
      <c r="O21" s="173"/>
      <c r="P21" s="178"/>
      <c r="Q21" s="232"/>
      <c r="R21" s="157"/>
      <c r="S21" s="167"/>
      <c r="T21" s="42"/>
      <c r="U21" s="68"/>
      <c r="V21" s="167"/>
      <c r="W21" s="42"/>
      <c r="X21" s="68"/>
      <c r="Y21" s="161"/>
      <c r="Z21" s="253"/>
      <c r="AA21" s="254"/>
      <c r="AB21" s="254"/>
      <c r="AC21" s="255"/>
    </row>
    <row r="22" ht="20.1" customHeight="1" s="19" customFormat="1">
      <c r="A22" s="63"/>
      <c r="B22" s="64"/>
      <c r="C22" s="63"/>
      <c r="D22" s="65"/>
      <c r="E22" s="66"/>
      <c r="F22" s="67"/>
      <c r="G22" s="42"/>
      <c r="H22" s="68"/>
      <c r="I22" s="67"/>
      <c r="J22" s="42"/>
      <c r="K22" s="68"/>
      <c r="L22" s="69"/>
      <c r="M22" s="70"/>
      <c r="N22" s="71"/>
      <c r="O22" s="173"/>
      <c r="P22" s="178"/>
      <c r="Q22" s="232"/>
      <c r="R22" s="157"/>
      <c r="S22" s="167"/>
      <c r="T22" s="42"/>
      <c r="U22" s="68"/>
      <c r="V22" s="167"/>
      <c r="W22" s="42"/>
      <c r="X22" s="68"/>
      <c r="Y22" s="161"/>
      <c r="Z22" s="253"/>
      <c r="AA22" s="254"/>
      <c r="AB22" s="254"/>
      <c r="AC22" s="255"/>
    </row>
    <row r="23" ht="20.1" customHeight="1" s="19" customFormat="1">
      <c r="A23" s="63"/>
      <c r="B23" s="64"/>
      <c r="C23" s="63"/>
      <c r="D23" s="65"/>
      <c r="E23" s="66"/>
      <c r="F23" s="67"/>
      <c r="G23" s="42"/>
      <c r="H23" s="68"/>
      <c r="I23" s="67"/>
      <c r="J23" s="42"/>
      <c r="K23" s="68"/>
      <c r="L23" s="69"/>
      <c r="M23" s="70"/>
      <c r="N23" s="71"/>
      <c r="O23" s="173"/>
      <c r="P23" s="178"/>
      <c r="Q23" s="234"/>
      <c r="R23" s="157"/>
      <c r="S23" s="167"/>
      <c r="T23" s="42"/>
      <c r="U23" s="68"/>
      <c r="V23" s="167"/>
      <c r="W23" s="42"/>
      <c r="X23" s="68"/>
      <c r="Y23" s="161"/>
      <c r="Z23" s="253"/>
      <c r="AA23" s="254"/>
      <c r="AB23" s="254"/>
      <c r="AC23" s="255"/>
    </row>
    <row r="24" ht="20.1" customHeight="1" s="19" customFormat="1">
      <c r="A24" s="63"/>
      <c r="B24" s="64"/>
      <c r="C24" s="63"/>
      <c r="D24" s="65"/>
      <c r="E24" s="66"/>
      <c r="F24" s="67"/>
      <c r="G24" s="42"/>
      <c r="H24" s="68"/>
      <c r="I24" s="67"/>
      <c r="J24" s="42"/>
      <c r="K24" s="68"/>
      <c r="L24" s="69"/>
      <c r="M24" s="70"/>
      <c r="N24" s="71"/>
      <c r="O24" s="173"/>
      <c r="P24" s="178"/>
      <c r="Q24" s="170"/>
      <c r="R24" s="157"/>
      <c r="S24" s="167"/>
      <c r="T24" s="42"/>
      <c r="U24" s="68"/>
      <c r="V24" s="167"/>
      <c r="W24" s="42"/>
      <c r="X24" s="68"/>
      <c r="Y24" s="161"/>
      <c r="Z24" s="253"/>
      <c r="AA24" s="254"/>
      <c r="AB24" s="254"/>
      <c r="AC24" s="255"/>
    </row>
    <row r="25" ht="20.1" customHeight="1" s="19" customFormat="1">
      <c r="A25" s="63"/>
      <c r="B25" s="64"/>
      <c r="C25" s="63"/>
      <c r="D25" s="65"/>
      <c r="E25" s="66"/>
      <c r="F25" s="67"/>
      <c r="G25" s="42"/>
      <c r="H25" s="68"/>
      <c r="I25" s="67"/>
      <c r="J25" s="42"/>
      <c r="K25" s="68"/>
      <c r="L25" s="69"/>
      <c r="M25" s="70"/>
      <c r="N25" s="71"/>
      <c r="O25" s="173"/>
      <c r="P25" s="178"/>
      <c r="Q25" s="233"/>
      <c r="R25" s="157"/>
      <c r="S25" s="167"/>
      <c r="T25" s="42"/>
      <c r="U25" s="68"/>
      <c r="V25" s="167"/>
      <c r="W25" s="42"/>
      <c r="X25" s="68"/>
      <c r="Y25" s="161"/>
      <c r="Z25" s="253"/>
      <c r="AA25" s="254"/>
      <c r="AB25" s="254"/>
      <c r="AC25" s="255"/>
    </row>
    <row r="26" ht="20.1" customHeight="1" s="19" customFormat="1">
      <c r="A26" s="63"/>
      <c r="B26" s="64"/>
      <c r="C26" s="63"/>
      <c r="D26" s="65"/>
      <c r="E26" s="66"/>
      <c r="F26" s="67"/>
      <c r="G26" s="42"/>
      <c r="H26" s="68"/>
      <c r="I26" s="67"/>
      <c r="J26" s="42"/>
      <c r="K26" s="68"/>
      <c r="L26" s="69"/>
      <c r="M26" s="70"/>
      <c r="N26" s="71"/>
      <c r="O26" s="173"/>
      <c r="P26" s="178"/>
      <c r="Q26" s="233"/>
      <c r="R26" s="157"/>
      <c r="S26" s="167"/>
      <c r="T26" s="42"/>
      <c r="U26" s="68"/>
      <c r="V26" s="167"/>
      <c r="W26" s="42"/>
      <c r="X26" s="68"/>
      <c r="Y26" s="161"/>
      <c r="Z26" s="253"/>
      <c r="AA26" s="254"/>
      <c r="AB26" s="254"/>
      <c r="AC26" s="255"/>
    </row>
    <row r="27" ht="20.1" customHeight="1" s="19" customFormat="1">
      <c r="A27" s="63"/>
      <c r="B27" s="64"/>
      <c r="C27" s="63"/>
      <c r="D27" s="65"/>
      <c r="E27" s="66"/>
      <c r="F27" s="67"/>
      <c r="G27" s="42"/>
      <c r="H27" s="68"/>
      <c r="I27" s="67"/>
      <c r="J27" s="42"/>
      <c r="K27" s="68"/>
      <c r="L27" s="69"/>
      <c r="M27" s="70"/>
      <c r="N27" s="71"/>
      <c r="O27" s="173"/>
      <c r="P27" s="178"/>
      <c r="Q27" s="234"/>
      <c r="R27" s="157"/>
      <c r="S27" s="167"/>
      <c r="T27" s="42"/>
      <c r="U27" s="68"/>
      <c r="V27" s="167"/>
      <c r="W27" s="42"/>
      <c r="X27" s="68"/>
      <c r="Y27" s="161"/>
      <c r="Z27" s="253"/>
      <c r="AA27" s="254"/>
      <c r="AB27" s="254"/>
      <c r="AC27" s="255"/>
    </row>
    <row r="28" ht="20.1" customHeight="1" s="19" customFormat="1">
      <c r="A28" s="63"/>
      <c r="B28" s="64"/>
      <c r="C28" s="63"/>
      <c r="D28" s="65"/>
      <c r="E28" s="66"/>
      <c r="F28" s="67"/>
      <c r="G28" s="42"/>
      <c r="H28" s="68"/>
      <c r="I28" s="67"/>
      <c r="J28" s="42"/>
      <c r="K28" s="68"/>
      <c r="L28" s="69"/>
      <c r="M28" s="70"/>
      <c r="N28" s="71"/>
      <c r="O28" s="173"/>
      <c r="P28" s="178"/>
      <c r="Q28" s="232"/>
      <c r="R28" s="157"/>
      <c r="S28" s="167"/>
      <c r="T28" s="42"/>
      <c r="U28" s="68"/>
      <c r="V28" s="167"/>
      <c r="W28" s="42"/>
      <c r="X28" s="68"/>
      <c r="Y28" s="161"/>
      <c r="Z28" s="253"/>
      <c r="AA28" s="254"/>
      <c r="AB28" s="254"/>
      <c r="AC28" s="255"/>
    </row>
    <row r="29" ht="20.1" customHeight="1" s="19" customFormat="1">
      <c r="A29" s="63"/>
      <c r="B29" s="64"/>
      <c r="C29" s="63"/>
      <c r="D29" s="65"/>
      <c r="E29" s="66"/>
      <c r="F29" s="67"/>
      <c r="G29" s="42"/>
      <c r="H29" s="68"/>
      <c r="I29" s="67"/>
      <c r="J29" s="42"/>
      <c r="K29" s="68"/>
      <c r="L29" s="69"/>
      <c r="M29" s="70"/>
      <c r="N29" s="71"/>
      <c r="O29" s="173"/>
      <c r="P29" s="178"/>
      <c r="Q29" s="233"/>
      <c r="R29" s="157"/>
      <c r="S29" s="167"/>
      <c r="T29" s="42"/>
      <c r="U29" s="68"/>
      <c r="V29" s="167"/>
      <c r="W29" s="42"/>
      <c r="X29" s="68"/>
      <c r="Y29" s="161"/>
      <c r="Z29" s="253"/>
      <c r="AA29" s="254"/>
      <c r="AB29" s="254"/>
      <c r="AC29" s="255"/>
    </row>
    <row r="30" ht="20.1" customHeight="1" s="19" customFormat="1">
      <c r="A30" s="63"/>
      <c r="B30" s="64"/>
      <c r="C30" s="63"/>
      <c r="D30" s="65"/>
      <c r="E30" s="66"/>
      <c r="F30" s="67"/>
      <c r="G30" s="42"/>
      <c r="H30" s="68"/>
      <c r="I30" s="67"/>
      <c r="J30" s="42"/>
      <c r="K30" s="68"/>
      <c r="L30" s="69"/>
      <c r="M30" s="70"/>
      <c r="N30" s="71"/>
      <c r="O30" s="173"/>
      <c r="P30" s="178"/>
      <c r="Q30" s="234"/>
      <c r="R30" s="157"/>
      <c r="S30" s="167"/>
      <c r="T30" s="42"/>
      <c r="U30" s="68"/>
      <c r="V30" s="167"/>
      <c r="W30" s="42"/>
      <c r="X30" s="68"/>
      <c r="Y30" s="161"/>
      <c r="Z30" s="253"/>
      <c r="AA30" s="254"/>
      <c r="AB30" s="254"/>
      <c r="AC30" s="255"/>
    </row>
    <row r="31" ht="20.1" customHeight="1" s="19" customFormat="1">
      <c r="A31" s="63"/>
      <c r="B31" s="64"/>
      <c r="C31" s="63"/>
      <c r="D31" s="65"/>
      <c r="E31" s="66"/>
      <c r="F31" s="67"/>
      <c r="G31" s="42"/>
      <c r="H31" s="68"/>
      <c r="I31" s="67"/>
      <c r="J31" s="42"/>
      <c r="K31" s="68"/>
      <c r="L31" s="69"/>
      <c r="M31" s="70"/>
      <c r="N31" s="71"/>
      <c r="O31" s="173"/>
      <c r="P31" s="178"/>
      <c r="Q31" s="170"/>
      <c r="R31" s="157"/>
      <c r="S31" s="167"/>
      <c r="T31" s="42"/>
      <c r="U31" s="68"/>
      <c r="V31" s="167"/>
      <c r="W31" s="42"/>
      <c r="X31" s="68"/>
      <c r="Y31" s="161"/>
      <c r="Z31" s="253"/>
      <c r="AA31" s="254"/>
      <c r="AB31" s="254"/>
      <c r="AC31" s="255"/>
    </row>
    <row r="32" ht="20.1" customHeight="1" s="19" customFormat="1">
      <c r="A32" s="63"/>
      <c r="B32" s="64"/>
      <c r="C32" s="63"/>
      <c r="D32" s="65"/>
      <c r="E32" s="66"/>
      <c r="F32" s="67"/>
      <c r="G32" s="42"/>
      <c r="H32" s="68"/>
      <c r="I32" s="67"/>
      <c r="J32" s="42"/>
      <c r="K32" s="68"/>
      <c r="L32" s="69"/>
      <c r="M32" s="70"/>
      <c r="N32" s="71"/>
      <c r="O32" s="173"/>
      <c r="P32" s="178"/>
      <c r="Q32" s="170"/>
      <c r="R32" s="157"/>
      <c r="S32" s="167"/>
      <c r="T32" s="42"/>
      <c r="U32" s="68"/>
      <c r="V32" s="167"/>
      <c r="W32" s="42"/>
      <c r="X32" s="68"/>
      <c r="Y32" s="161"/>
      <c r="Z32" s="253"/>
      <c r="AA32" s="254"/>
      <c r="AB32" s="254"/>
      <c r="AC32" s="255"/>
    </row>
    <row r="33" ht="20.1" customHeight="1" s="19" customFormat="1">
      <c r="A33" s="63"/>
      <c r="B33" s="64"/>
      <c r="C33" s="63"/>
      <c r="D33" s="65"/>
      <c r="E33" s="66"/>
      <c r="F33" s="67"/>
      <c r="G33" s="42"/>
      <c r="H33" s="68"/>
      <c r="I33" s="67"/>
      <c r="J33" s="42"/>
      <c r="K33" s="68"/>
      <c r="L33" s="69"/>
      <c r="M33" s="70"/>
      <c r="N33" s="71"/>
      <c r="O33" s="173"/>
      <c r="P33" s="178"/>
      <c r="Q33" s="170"/>
      <c r="R33" s="157"/>
      <c r="S33" s="167"/>
      <c r="T33" s="42"/>
      <c r="U33" s="68"/>
      <c r="V33" s="167"/>
      <c r="W33" s="42"/>
      <c r="X33" s="68"/>
      <c r="Y33" s="161"/>
      <c r="Z33" s="253"/>
      <c r="AA33" s="254"/>
      <c r="AB33" s="254"/>
      <c r="AC33" s="255"/>
    </row>
    <row r="34" ht="20.1" customHeight="1" s="19" customFormat="1">
      <c r="A34" s="63"/>
      <c r="B34" s="64"/>
      <c r="C34" s="63"/>
      <c r="D34" s="65"/>
      <c r="E34" s="66"/>
      <c r="F34" s="67"/>
      <c r="G34" s="42"/>
      <c r="H34" s="68"/>
      <c r="I34" s="67"/>
      <c r="J34" s="42"/>
      <c r="K34" s="68"/>
      <c r="L34" s="69"/>
      <c r="M34" s="70"/>
      <c r="N34" s="71"/>
      <c r="O34" s="173"/>
      <c r="P34" s="178"/>
      <c r="Q34" s="232"/>
      <c r="R34" s="157"/>
      <c r="S34" s="167"/>
      <c r="T34" s="42"/>
      <c r="U34" s="68"/>
      <c r="V34" s="167"/>
      <c r="W34" s="42"/>
      <c r="X34" s="68"/>
      <c r="Y34" s="161"/>
      <c r="Z34" s="253"/>
      <c r="AA34" s="254"/>
      <c r="AB34" s="254"/>
      <c r="AC34" s="255"/>
    </row>
    <row r="35" ht="20.1" customHeight="1" s="19" customFormat="1">
      <c r="A35" s="63"/>
      <c r="B35" s="64"/>
      <c r="C35" s="63"/>
      <c r="D35" s="65"/>
      <c r="E35" s="66"/>
      <c r="F35" s="67"/>
      <c r="G35" s="42"/>
      <c r="H35" s="68"/>
      <c r="I35" s="67"/>
      <c r="J35" s="42"/>
      <c r="K35" s="68"/>
      <c r="L35" s="69"/>
      <c r="M35" s="70"/>
      <c r="N35" s="71"/>
      <c r="O35" s="173"/>
      <c r="P35" s="178"/>
      <c r="Q35" s="232"/>
      <c r="R35" s="157"/>
      <c r="S35" s="167"/>
      <c r="T35" s="42"/>
      <c r="U35" s="68"/>
      <c r="V35" s="167"/>
      <c r="W35" s="42"/>
      <c r="X35" s="68"/>
      <c r="Y35" s="161"/>
      <c r="Z35" s="253"/>
      <c r="AA35" s="254"/>
      <c r="AB35" s="254"/>
      <c r="AC35" s="255"/>
    </row>
    <row r="36" ht="20.1" customHeight="1" s="19" customFormat="1">
      <c r="A36" s="63"/>
      <c r="B36" s="64"/>
      <c r="C36" s="63"/>
      <c r="D36" s="65"/>
      <c r="E36" s="66"/>
      <c r="F36" s="67"/>
      <c r="G36" s="42"/>
      <c r="H36" s="68"/>
      <c r="I36" s="67"/>
      <c r="J36" s="42"/>
      <c r="K36" s="68"/>
      <c r="L36" s="69"/>
      <c r="M36" s="70"/>
      <c r="N36" s="71"/>
      <c r="O36" s="173"/>
      <c r="P36" s="178"/>
      <c r="Q36" s="234"/>
      <c r="R36" s="157"/>
      <c r="S36" s="167"/>
      <c r="T36" s="42"/>
      <c r="U36" s="68"/>
      <c r="V36" s="167"/>
      <c r="W36" s="42"/>
      <c r="X36" s="68"/>
      <c r="Y36" s="161"/>
      <c r="Z36" s="253"/>
      <c r="AA36" s="254"/>
      <c r="AB36" s="254"/>
      <c r="AC36" s="255"/>
    </row>
    <row r="37" ht="20.1" customHeight="1" s="19" customFormat="1">
      <c r="A37" s="63"/>
      <c r="B37" s="64"/>
      <c r="C37" s="63"/>
      <c r="D37" s="65"/>
      <c r="E37" s="66"/>
      <c r="F37" s="67"/>
      <c r="G37" s="42"/>
      <c r="H37" s="68"/>
      <c r="I37" s="67"/>
      <c r="J37" s="42"/>
      <c r="K37" s="68"/>
      <c r="L37" s="69"/>
      <c r="M37" s="70"/>
      <c r="N37" s="71"/>
      <c r="O37" s="173"/>
      <c r="P37" s="178"/>
      <c r="Q37" s="233"/>
      <c r="R37" s="157"/>
      <c r="S37" s="167"/>
      <c r="T37" s="42"/>
      <c r="U37" s="68"/>
      <c r="V37" s="167"/>
      <c r="W37" s="42"/>
      <c r="X37" s="68"/>
      <c r="Y37" s="161"/>
      <c r="Z37" s="253"/>
      <c r="AA37" s="254"/>
      <c r="AB37" s="254"/>
      <c r="AC37" s="255"/>
    </row>
    <row r="38" ht="20.1" customHeight="1" s="19" customFormat="1">
      <c r="A38" s="63"/>
      <c r="B38" s="64"/>
      <c r="C38" s="63"/>
      <c r="D38" s="65"/>
      <c r="E38" s="66"/>
      <c r="F38" s="67"/>
      <c r="G38" s="42"/>
      <c r="H38" s="68"/>
      <c r="I38" s="67"/>
      <c r="J38" s="42"/>
      <c r="K38" s="68"/>
      <c r="L38" s="69"/>
      <c r="M38" s="70"/>
      <c r="N38" s="71"/>
      <c r="O38" s="173"/>
      <c r="P38" s="178"/>
      <c r="Q38" s="234"/>
      <c r="R38" s="157"/>
      <c r="S38" s="167"/>
      <c r="T38" s="42"/>
      <c r="U38" s="68"/>
      <c r="V38" s="167"/>
      <c r="W38" s="42"/>
      <c r="X38" s="68"/>
      <c r="Y38" s="161"/>
      <c r="Z38" s="253"/>
      <c r="AA38" s="254"/>
      <c r="AB38" s="254"/>
      <c r="AC38" s="255"/>
    </row>
    <row r="39" ht="20.1" customHeight="1" s="19" customFormat="1">
      <c r="A39" s="63"/>
      <c r="B39" s="64"/>
      <c r="C39" s="63"/>
      <c r="D39" s="65"/>
      <c r="E39" s="66"/>
      <c r="F39" s="67"/>
      <c r="G39" s="42"/>
      <c r="H39" s="68"/>
      <c r="I39" s="67"/>
      <c r="J39" s="42"/>
      <c r="K39" s="68"/>
      <c r="L39" s="69"/>
      <c r="M39" s="70"/>
      <c r="N39" s="71"/>
      <c r="O39" s="173"/>
      <c r="P39" s="178"/>
      <c r="Q39" s="170"/>
      <c r="R39" s="157"/>
      <c r="S39" s="167"/>
      <c r="T39" s="42"/>
      <c r="U39" s="68"/>
      <c r="V39" s="167"/>
      <c r="W39" s="42"/>
      <c r="X39" s="68"/>
      <c r="Y39" s="161"/>
      <c r="Z39" s="253"/>
      <c r="AA39" s="254"/>
      <c r="AB39" s="254"/>
      <c r="AC39" s="255"/>
    </row>
    <row r="40" ht="20.1" customHeight="1" s="19" customFormat="1">
      <c r="A40" s="63"/>
      <c r="B40" s="64"/>
      <c r="C40" s="63"/>
      <c r="D40" s="65"/>
      <c r="E40" s="66"/>
      <c r="F40" s="67"/>
      <c r="G40" s="42"/>
      <c r="H40" s="68"/>
      <c r="I40" s="67"/>
      <c r="J40" s="42"/>
      <c r="K40" s="68"/>
      <c r="L40" s="69"/>
      <c r="M40" s="70"/>
      <c r="N40" s="71"/>
      <c r="O40" s="173"/>
      <c r="P40" s="178"/>
      <c r="Q40" s="170"/>
      <c r="R40" s="157"/>
      <c r="S40" s="167"/>
      <c r="T40" s="42"/>
      <c r="U40" s="68"/>
      <c r="V40" s="167"/>
      <c r="W40" s="42"/>
      <c r="X40" s="68"/>
      <c r="Y40" s="161"/>
      <c r="Z40" s="253"/>
      <c r="AA40" s="254"/>
      <c r="AB40" s="254"/>
      <c r="AC40" s="255"/>
    </row>
    <row r="41" ht="20.1" customHeight="1" s="19" customFormat="1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170"/>
      <c r="R41" s="157"/>
      <c r="S41" s="167"/>
      <c r="T41" s="42"/>
      <c r="U41" s="68"/>
      <c r="V41" s="167"/>
      <c r="W41" s="42"/>
      <c r="X41" s="68"/>
      <c r="Y41" s="161"/>
      <c r="Z41" s="253"/>
      <c r="AA41" s="254"/>
      <c r="AB41" s="254"/>
      <c r="AC41" s="255"/>
    </row>
    <row r="42" ht="20.1" customHeight="1" s="19" customFormat="1">
      <c r="A42" s="74" t="s">
        <v>14</v>
      </c>
      <c r="B42" s="288">
        <f>SUM(B5:B41)</f>
        <v>0</v>
      </c>
      <c r="C42" s="289"/>
      <c r="D42" s="285"/>
      <c r="E42" s="286"/>
      <c r="F42" s="286"/>
      <c r="G42" s="286"/>
      <c r="H42" s="286"/>
      <c r="I42" s="286"/>
      <c r="J42" s="286"/>
      <c r="K42" s="286"/>
      <c r="L42" s="286"/>
      <c r="M42" s="286"/>
      <c r="N42" s="286"/>
      <c r="O42" s="286"/>
      <c r="P42" s="286"/>
      <c r="Q42" s="286"/>
      <c r="R42" s="286"/>
      <c r="S42" s="286"/>
      <c r="T42" s="286"/>
      <c r="U42" s="286"/>
      <c r="V42" s="286"/>
      <c r="W42" s="286"/>
      <c r="X42" s="286"/>
      <c r="Y42" s="286"/>
      <c r="Z42" s="286"/>
      <c r="AA42" s="286"/>
      <c r="AB42" s="286"/>
      <c r="AC42" s="287"/>
    </row>
    <row r="43" ht="20.1" customHeight="1" s="19" customFormat="1">
      <c r="A43" s="164" t="s">
        <v>47</v>
      </c>
      <c r="B43" s="276"/>
      <c r="C43" s="276"/>
      <c r="D43" s="276"/>
      <c r="E43" s="276"/>
      <c r="F43" s="276"/>
      <c r="G43" s="276"/>
      <c r="H43" s="276"/>
      <c r="I43" s="276"/>
      <c r="J43" s="276"/>
      <c r="K43" s="276"/>
      <c r="L43" s="276"/>
      <c r="M43" s="276"/>
      <c r="N43" s="276"/>
      <c r="O43" s="276"/>
      <c r="P43" s="276"/>
      <c r="Q43" s="276"/>
      <c r="R43" s="276"/>
      <c r="S43" s="276"/>
      <c r="T43" s="276"/>
      <c r="U43" s="276"/>
      <c r="V43" s="276"/>
      <c r="W43" s="276"/>
      <c r="X43" s="276"/>
      <c r="Y43" s="276"/>
      <c r="Z43" s="276"/>
      <c r="AA43" s="276"/>
      <c r="AB43" s="276"/>
      <c r="AC43" s="277"/>
    </row>
    <row r="44" ht="20.1" customHeight="1" s="19" customFormat="1">
      <c r="A44" s="253"/>
      <c r="B44" s="254"/>
      <c r="C44" s="254"/>
      <c r="D44" s="254"/>
      <c r="E44" s="254"/>
      <c r="F44" s="254"/>
      <c r="G44" s="254"/>
      <c r="H44" s="254"/>
      <c r="I44" s="254"/>
      <c r="J44" s="254"/>
      <c r="K44" s="254"/>
      <c r="L44" s="254"/>
      <c r="M44" s="254"/>
      <c r="N44" s="254"/>
      <c r="O44" s="254"/>
      <c r="P44" s="254"/>
      <c r="Q44" s="254"/>
      <c r="R44" s="254"/>
      <c r="S44" s="254"/>
      <c r="T44" s="254"/>
      <c r="U44" s="254"/>
      <c r="V44" s="254"/>
      <c r="W44" s="254"/>
      <c r="X44" s="254"/>
      <c r="Y44" s="254"/>
      <c r="Z44" s="254"/>
      <c r="AA44" s="254"/>
      <c r="AB44" s="254"/>
      <c r="AC44" s="255"/>
    </row>
    <row r="45" ht="20.1" customHeight="1" s="19" customFormat="1">
      <c r="A45" s="282"/>
      <c r="B45" s="283"/>
      <c r="C45" s="283"/>
      <c r="D45" s="283"/>
      <c r="E45" s="283"/>
      <c r="F45" s="283"/>
      <c r="G45" s="283"/>
      <c r="H45" s="283"/>
      <c r="I45" s="283"/>
      <c r="J45" s="283"/>
      <c r="K45" s="283"/>
      <c r="L45" s="283"/>
      <c r="M45" s="283"/>
      <c r="N45" s="283"/>
      <c r="O45" s="283"/>
      <c r="P45" s="283"/>
      <c r="Q45" s="283"/>
      <c r="R45" s="283"/>
      <c r="S45" s="283"/>
      <c r="T45" s="283"/>
      <c r="U45" s="283"/>
      <c r="V45" s="283"/>
      <c r="W45" s="283"/>
      <c r="X45" s="283"/>
      <c r="Y45" s="283"/>
      <c r="Z45" s="283"/>
      <c r="AA45" s="283"/>
      <c r="AB45" s="283"/>
      <c r="AC45" s="284"/>
    </row>
    <row r="46" ht="17.45" customHeight="1" s="19" customFormat="1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ht="17.45" customHeight="1" s="19" customForma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Z47" s="18"/>
      <c r="AA47" s="18"/>
      <c r="AB47" s="18"/>
    </row>
    <row r="48" ht="17.45" customHeight="1" s="19" customFormat="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Z48" s="18"/>
      <c r="AA48" s="18"/>
      <c r="AB48" s="18"/>
    </row>
    <row r="49" ht="17.45" customHeight="1" s="19" customFormat="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Z49" s="18"/>
      <c r="AA49" s="18"/>
      <c r="AB49" s="18"/>
    </row>
    <row r="50" ht="17.45" customHeight="1" s="19" customFormat="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Z50" s="18"/>
      <c r="AA50" s="18"/>
      <c r="AB50" s="18"/>
    </row>
    <row r="51" ht="17.45" customHeight="1" s="19" customFormat="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Z51" s="18"/>
      <c r="AA51" s="18"/>
      <c r="AB51" s="18"/>
    </row>
    <row r="52" ht="15" s="19" customFormat="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Z52" s="18"/>
      <c r="AA52" s="18"/>
      <c r="AB52" s="18"/>
    </row>
    <row r="53" ht="15" s="19" customFormat="1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Z53" s="18"/>
      <c r="AA53" s="18"/>
      <c r="AB53" s="18"/>
    </row>
    <row r="54" ht="15" s="19" customFormat="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Z54" s="18"/>
      <c r="AA54" s="18"/>
      <c r="AB54" s="18"/>
    </row>
    <row r="55" ht="15" s="19" customForma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Z55" s="18"/>
      <c r="AA55" s="18"/>
      <c r="AB55" s="18"/>
    </row>
  </sheetData>
  <dataConsolidate/>
  <mergeCells>
    <mergeCell ref="A3:A4"/>
    <mergeCell ref="B3:B4"/>
    <mergeCell ref="C3:C4"/>
    <mergeCell ref="D3:E4"/>
    <mergeCell ref="F3:H3"/>
    <mergeCell ref="G4:H4"/>
    <mergeCell ref="A1:B1"/>
    <mergeCell ref="C1:Y1"/>
    <mergeCell ref="AA1:AC1"/>
    <mergeCell ref="A2:B2"/>
    <mergeCell ref="C2:Y2"/>
    <mergeCell ref="Z5:AC5"/>
    <mergeCell ref="I3:K3"/>
    <mergeCell ref="L3:M3"/>
    <mergeCell ref="P3:R3"/>
    <mergeCell ref="S3:U3"/>
    <mergeCell ref="V3:X3"/>
    <mergeCell ref="Y3:Y4"/>
    <mergeCell ref="Z3:AC4"/>
    <mergeCell ref="J4:K4"/>
    <mergeCell ref="T4:U4"/>
    <mergeCell ref="W4:X4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B42:C42"/>
    <mergeCell ref="D42:AC42"/>
    <mergeCell ref="B43:AC43"/>
    <mergeCell ref="A44:AC44"/>
    <mergeCell ref="A45:AC45"/>
  </mergeCells>
  <dataValidations count="11">
    <dataValidation type="list" allowBlank="1" showInputMessage="1" showErrorMessage="1" errorTitle="Bad Input" error="Input for this cell must be one of the listed positions and all uppercase!" sqref="R36 R20 R14 R13 R16 R22:R23 R10 R7 R30:R31 R28 R9 R40:R41 R27 R11 R5 R18 R32 R19 R26 R15 R35 R6 R38 R8 R12 R17 R21 R25 R29 R33">
      <formula1>"TC,BC,BE,LE,RE"</formula1>
    </dataValidation>
    <dataValidation type="list" allowBlank="1" showInputMessage="1" showErrorMessage="1" errorTitle="Bad Input" error="Input for this cell must be one of the listed categories and all uppercase!" sqref="Q36 Q20 Q14 Q13 Q16 Q22:Q23 Q10 Q7 Q30:Q31 Q28 Q9 Q40:Q41 Q27 Q11 Q5 Q18 Q32 Q19 Q26 Q15 Q35 Q6 Q38 Q8 Q12 Q17 Q21 Q25 Q29 Q33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39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9">
      <formula1>"TC,BC,BE,LE,RE"</formula1>
    </dataValidation>
    <dataValidation type="list" allowBlank="1" showInputMessage="1" showErrorMessage="1" errorTitle="Bad Input" error="Input for this cell must be one of the listed categories and all uppercase!" sqref="Q3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4">
      <formula1>"TC,BC,BE,LE,RE"</formula1>
    </dataValidation>
    <dataValidation type="list" allowBlank="1" showInputMessage="1" showErrorMessage="1" errorTitle="Bad Input" error="Input for this cell must be one of the listed categories and all uppercase!" sqref="Q2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24">
      <formula1>"TC,BC,BE,LE,RE"</formula1>
    </dataValidation>
    <dataValidation type="list" allowBlank="1" showInputMessage="1" showErrorMessage="1" errorTitle="Bad Input" error="Input for this cell must be one of the listed categories and all uppercase!" sqref="Q37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7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1" width="5.7109375" customWidth="1" style="209"/>
    <col min="2" max="2" width="5.7109375" customWidth="1" style="209"/>
    <col min="3" max="3" width="5.7109375" customWidth="1" style="209"/>
    <col min="4" max="4" width="41.28515625" customWidth="1" style="209"/>
    <col min="5" max="5" width="11.42578125" customWidth="1" style="209"/>
    <col min="6" max="6" width="25.140625" customWidth="1" style="209"/>
    <col min="7" max="16384" width="9.140625" customWidth="1" style="209"/>
  </cols>
  <sheetData>
    <row r="1" ht="19.5" customHeight="1">
      <c r="A1" s="415" t="s">
        <v>208</v>
      </c>
      <c r="B1" s="415"/>
      <c r="C1" s="415"/>
      <c r="D1" s="415"/>
      <c r="E1" s="415"/>
      <c r="F1" s="415"/>
    </row>
    <row r="2" ht="47.25" customHeight="1">
      <c r="A2" s="415"/>
      <c r="B2" s="415"/>
      <c r="C2" s="415"/>
      <c r="D2" s="415"/>
      <c r="E2" s="415"/>
      <c r="F2" s="415"/>
    </row>
    <row r="3" ht="18" customHeight="1">
      <c r="A3" s="406" t="s">
        <v>209</v>
      </c>
      <c r="B3" s="406"/>
      <c r="C3" s="406"/>
      <c r="D3" s="211"/>
      <c r="E3" s="210" t="s">
        <v>210</v>
      </c>
      <c r="F3" s="212"/>
    </row>
    <row r="4" ht="18" customHeight="1">
      <c r="A4" s="406" t="s">
        <v>211</v>
      </c>
      <c r="B4" s="406"/>
      <c r="C4" s="406"/>
      <c r="D4" s="213"/>
      <c r="E4" s="210" t="s">
        <v>212</v>
      </c>
      <c r="F4" s="212"/>
    </row>
    <row r="5" ht="18.75" customHeight="1">
      <c r="A5" s="419"/>
      <c r="B5" s="419"/>
      <c r="C5" s="419"/>
      <c r="D5" s="214"/>
      <c r="E5" s="215"/>
      <c r="F5" s="216"/>
    </row>
    <row r="6" ht="19.5" customHeight="1">
      <c r="A6" s="217" t="s">
        <v>213</v>
      </c>
      <c r="B6" s="218" t="s">
        <v>214</v>
      </c>
      <c r="C6" s="218" t="s">
        <v>215</v>
      </c>
      <c r="D6" s="416" t="s">
        <v>216</v>
      </c>
      <c r="E6" s="417"/>
      <c r="F6" s="418"/>
    </row>
    <row r="7" ht="15" customHeight="1">
      <c r="A7" s="219"/>
      <c r="B7" s="220"/>
      <c r="C7" s="220"/>
      <c r="D7" s="407" t="s">
        <v>217</v>
      </c>
      <c r="E7" s="407"/>
      <c r="F7" s="408"/>
    </row>
    <row r="8" ht="15" customHeight="1">
      <c r="A8" s="221"/>
      <c r="B8" s="222"/>
      <c r="C8" s="222"/>
      <c r="D8" s="409" t="s">
        <v>218</v>
      </c>
      <c r="E8" s="409"/>
      <c r="F8" s="410"/>
    </row>
    <row r="9" ht="15" customHeight="1">
      <c r="A9" s="221"/>
      <c r="B9" s="222"/>
      <c r="C9" s="222"/>
      <c r="D9" s="409" t="s">
        <v>219</v>
      </c>
      <c r="E9" s="409"/>
      <c r="F9" s="410"/>
    </row>
    <row r="10" ht="15" customHeight="1">
      <c r="A10" s="221"/>
      <c r="B10" s="222"/>
      <c r="C10" s="222"/>
      <c r="D10" s="409" t="s">
        <v>220</v>
      </c>
      <c r="E10" s="409"/>
      <c r="F10" s="410"/>
    </row>
    <row r="11" ht="15" customHeight="1">
      <c r="A11" s="221"/>
      <c r="B11" s="222"/>
      <c r="C11" s="222"/>
      <c r="D11" s="409" t="s">
        <v>221</v>
      </c>
      <c r="E11" s="409"/>
      <c r="F11" s="410"/>
    </row>
    <row r="12" ht="15" customHeight="1">
      <c r="A12" s="221"/>
      <c r="B12" s="222"/>
      <c r="C12" s="222"/>
      <c r="D12" s="409" t="s">
        <v>222</v>
      </c>
      <c r="E12" s="409"/>
      <c r="F12" s="410"/>
    </row>
    <row r="13" ht="15" customHeight="1">
      <c r="A13" s="221"/>
      <c r="B13" s="222"/>
      <c r="C13" s="222"/>
      <c r="D13" s="409" t="s">
        <v>223</v>
      </c>
      <c r="E13" s="409"/>
      <c r="F13" s="410"/>
    </row>
    <row r="14" ht="15" customHeight="1">
      <c r="A14" s="221"/>
      <c r="B14" s="222"/>
      <c r="C14" s="222"/>
      <c r="D14" s="409" t="s">
        <v>224</v>
      </c>
      <c r="E14" s="409"/>
      <c r="F14" s="410"/>
    </row>
    <row r="15" ht="15" customHeight="1">
      <c r="A15" s="221"/>
      <c r="B15" s="222"/>
      <c r="C15" s="222"/>
      <c r="D15" s="409" t="s">
        <v>225</v>
      </c>
      <c r="E15" s="409"/>
      <c r="F15" s="410"/>
    </row>
    <row r="16" ht="15" customHeight="1">
      <c r="A16" s="221"/>
      <c r="B16" s="222"/>
      <c r="C16" s="222"/>
      <c r="D16" s="409" t="s">
        <v>226</v>
      </c>
      <c r="E16" s="409"/>
      <c r="F16" s="410"/>
    </row>
    <row r="17" ht="15" customHeight="1">
      <c r="A17" s="221"/>
      <c r="B17" s="222"/>
      <c r="C17" s="222"/>
      <c r="D17" s="409" t="s">
        <v>227</v>
      </c>
      <c r="E17" s="409"/>
      <c r="F17" s="410"/>
    </row>
    <row r="18" ht="15" customHeight="1">
      <c r="A18" s="221"/>
      <c r="B18" s="222"/>
      <c r="C18" s="222"/>
      <c r="D18" s="409" t="s">
        <v>228</v>
      </c>
      <c r="E18" s="409"/>
      <c r="F18" s="410"/>
    </row>
    <row r="19" ht="15" customHeight="1">
      <c r="A19" s="221"/>
      <c r="B19" s="222"/>
      <c r="C19" s="222"/>
      <c r="D19" s="409" t="s">
        <v>229</v>
      </c>
      <c r="E19" s="409"/>
      <c r="F19" s="410"/>
    </row>
    <row r="20" ht="15" customHeight="1">
      <c r="A20" s="221"/>
      <c r="B20" s="222"/>
      <c r="C20" s="222"/>
      <c r="D20" s="409" t="s">
        <v>230</v>
      </c>
      <c r="E20" s="409"/>
      <c r="F20" s="410"/>
    </row>
    <row r="21" ht="15" customHeight="1">
      <c r="A21" s="221"/>
      <c r="B21" s="222"/>
      <c r="C21" s="222"/>
      <c r="D21" s="409" t="s">
        <v>231</v>
      </c>
      <c r="E21" s="409"/>
      <c r="F21" s="410"/>
    </row>
    <row r="22" ht="15" customHeight="1">
      <c r="A22" s="221"/>
      <c r="B22" s="222"/>
      <c r="C22" s="222"/>
      <c r="D22" s="409" t="s">
        <v>232</v>
      </c>
      <c r="E22" s="409"/>
      <c r="F22" s="410"/>
    </row>
    <row r="23" ht="15" customHeight="1">
      <c r="A23" s="221"/>
      <c r="B23" s="222"/>
      <c r="C23" s="222"/>
      <c r="D23" s="409" t="s">
        <v>233</v>
      </c>
      <c r="E23" s="409"/>
      <c r="F23" s="410"/>
    </row>
    <row r="24" ht="15" customHeight="1">
      <c r="A24" s="221"/>
      <c r="B24" s="222"/>
      <c r="C24" s="222"/>
      <c r="D24" s="409" t="s">
        <v>234</v>
      </c>
      <c r="E24" s="409"/>
      <c r="F24" s="410"/>
    </row>
    <row r="25" ht="15" customHeight="1">
      <c r="A25" s="221"/>
      <c r="B25" s="222"/>
      <c r="C25" s="222"/>
      <c r="D25" s="409" t="s">
        <v>235</v>
      </c>
      <c r="E25" s="409"/>
      <c r="F25" s="410"/>
    </row>
    <row r="26" ht="15" customHeight="1">
      <c r="A26" s="221"/>
      <c r="B26" s="222"/>
      <c r="C26" s="222"/>
      <c r="D26" s="409" t="s">
        <v>236</v>
      </c>
      <c r="E26" s="409"/>
      <c r="F26" s="410"/>
    </row>
    <row r="27" ht="15" customHeight="1">
      <c r="A27" s="221"/>
      <c r="B27" s="222"/>
      <c r="C27" s="222"/>
      <c r="D27" s="409" t="s">
        <v>237</v>
      </c>
      <c r="E27" s="409"/>
      <c r="F27" s="410"/>
    </row>
    <row r="28" ht="15" customHeight="1">
      <c r="A28" s="221"/>
      <c r="B28" s="222"/>
      <c r="C28" s="222"/>
      <c r="D28" s="409"/>
      <c r="E28" s="409"/>
      <c r="F28" s="410"/>
    </row>
    <row r="29" ht="15" customHeight="1">
      <c r="A29" s="221"/>
      <c r="B29" s="222"/>
      <c r="C29" s="222"/>
      <c r="D29" s="409"/>
      <c r="E29" s="409"/>
      <c r="F29" s="410"/>
    </row>
    <row r="30" ht="15" customHeight="1">
      <c r="A30" s="221"/>
      <c r="B30" s="222"/>
      <c r="C30" s="222"/>
      <c r="D30" s="409"/>
      <c r="E30" s="409"/>
      <c r="F30" s="410"/>
    </row>
    <row r="31" ht="15" customHeight="1">
      <c r="A31" s="221"/>
      <c r="B31" s="222"/>
      <c r="C31" s="222"/>
      <c r="D31" s="409"/>
      <c r="E31" s="409"/>
      <c r="F31" s="410"/>
    </row>
    <row r="32" ht="15" customHeight="1">
      <c r="A32" s="221"/>
      <c r="B32" s="222"/>
      <c r="C32" s="222"/>
      <c r="D32" s="409"/>
      <c r="E32" s="409"/>
      <c r="F32" s="410"/>
    </row>
    <row r="33" ht="15" customHeight="1">
      <c r="A33" s="221"/>
      <c r="B33" s="222"/>
      <c r="C33" s="222"/>
      <c r="D33" s="409"/>
      <c r="E33" s="409"/>
      <c r="F33" s="410"/>
    </row>
    <row r="34" ht="15" customHeight="1">
      <c r="A34" s="221"/>
      <c r="B34" s="222"/>
      <c r="C34" s="222"/>
      <c r="D34" s="409"/>
      <c r="E34" s="409"/>
      <c r="F34" s="410"/>
    </row>
    <row r="35" ht="15" customHeight="1">
      <c r="A35" s="221"/>
      <c r="B35" s="222"/>
      <c r="C35" s="222"/>
      <c r="D35" s="409"/>
      <c r="E35" s="409"/>
      <c r="F35" s="410"/>
    </row>
    <row r="36" ht="15" customHeight="1">
      <c r="A36" s="221"/>
      <c r="B36" s="222"/>
      <c r="C36" s="222"/>
      <c r="D36" s="409"/>
      <c r="E36" s="409"/>
      <c r="F36" s="410"/>
    </row>
    <row r="37" ht="15" customHeight="1">
      <c r="A37" s="221"/>
      <c r="B37" s="222"/>
      <c r="C37" s="222"/>
      <c r="D37" s="409"/>
      <c r="E37" s="409"/>
      <c r="F37" s="410"/>
    </row>
    <row r="38" ht="15" customHeight="1">
      <c r="A38" s="221"/>
      <c r="B38" s="222"/>
      <c r="C38" s="222"/>
      <c r="D38" s="409"/>
      <c r="E38" s="409"/>
      <c r="F38" s="410"/>
    </row>
    <row r="39" ht="15" customHeight="1">
      <c r="A39" s="221"/>
      <c r="B39" s="222"/>
      <c r="C39" s="222"/>
      <c r="D39" s="409"/>
      <c r="E39" s="409"/>
      <c r="F39" s="410"/>
    </row>
    <row r="40" ht="15" customHeight="1">
      <c r="A40" s="221"/>
      <c r="B40" s="222"/>
      <c r="C40" s="222"/>
      <c r="D40" s="409"/>
      <c r="E40" s="409"/>
      <c r="F40" s="410"/>
    </row>
    <row r="41" ht="15" customHeight="1">
      <c r="A41" s="221"/>
      <c r="B41" s="222"/>
      <c r="C41" s="222"/>
      <c r="D41" s="409"/>
      <c r="E41" s="409"/>
      <c r="F41" s="410"/>
    </row>
    <row r="42" ht="15" customHeight="1">
      <c r="A42" s="221"/>
      <c r="B42" s="222"/>
      <c r="C42" s="222"/>
      <c r="D42" s="409"/>
      <c r="E42" s="409"/>
      <c r="F42" s="410"/>
    </row>
    <row r="43" ht="15" customHeight="1">
      <c r="A43" s="221"/>
      <c r="B43" s="223"/>
      <c r="C43" s="223"/>
      <c r="D43" s="409"/>
      <c r="E43" s="409"/>
      <c r="F43" s="410"/>
    </row>
    <row r="44" ht="15" customHeight="1">
      <c r="A44" s="224"/>
      <c r="B44" s="225"/>
      <c r="C44" s="225"/>
      <c r="D44" s="413"/>
      <c r="E44" s="413"/>
      <c r="F44" s="414"/>
    </row>
    <row r="45" ht="15" customHeight="1">
      <c r="A45" s="226"/>
      <c r="B45" s="223"/>
      <c r="C45" s="223"/>
      <c r="D45" s="409"/>
      <c r="E45" s="409"/>
      <c r="F45" s="410"/>
    </row>
    <row r="46" ht="15" customHeight="1">
      <c r="A46" s="224"/>
      <c r="B46" s="225"/>
      <c r="C46" s="225"/>
      <c r="D46" s="413"/>
      <c r="E46" s="413"/>
      <c r="F46" s="414"/>
    </row>
    <row r="47" ht="15" customHeight="1">
      <c r="A47" s="227"/>
      <c r="B47" s="228"/>
      <c r="C47" s="228"/>
      <c r="D47" s="411"/>
      <c r="E47" s="411"/>
      <c r="F47" s="412"/>
    </row>
  </sheetData>
  <mergeCells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A3:C3"/>
    <mergeCell ref="D7:F7"/>
    <mergeCell ref="D9:F9"/>
    <mergeCell ref="D8:F8"/>
    <mergeCell ref="D28:F28"/>
    <mergeCell ref="A4:C4"/>
    <mergeCell ref="D10:F10"/>
    <mergeCell ref="D11:F11"/>
  </mergeCells>
  <phoneticPr fontId="39" type="noConversion"/>
  <pageMargins left="0.75" right="0.75" top="0.5" bottom="1" header="0.5" footer="0.5"/>
  <pageSetup scale="93" orientation="portrait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4" name="CheckBox1"/>
      </mc:Fallback>
    </mc:AlternateContent>
    <mc:AlternateContent xmlns:mc="http://schemas.openxmlformats.org/markup-compatibility/2006">
      <mc:Choice Requires="x14">
        <control shapeId="7171" r:id="rId6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6" name="CheckBox2"/>
      </mc:Fallback>
    </mc:AlternateContent>
    <mc:AlternateContent xmlns:mc="http://schemas.openxmlformats.org/markup-compatibility/2006">
      <mc:Choice Requires="x14">
        <control shapeId="7172" r:id="rId7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7" name="CheckBox3"/>
      </mc:Fallback>
    </mc:AlternateContent>
    <mc:AlternateContent xmlns:mc="http://schemas.openxmlformats.org/markup-compatibility/2006">
      <mc:Choice Requires="x14">
        <control shapeId="7173" r:id="rId8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8" name="CheckBox4"/>
      </mc:Fallback>
    </mc:AlternateContent>
    <mc:AlternateContent xmlns:mc="http://schemas.openxmlformats.org/markup-compatibility/2006">
      <mc:Choice Requires="x14">
        <control shapeId="7174" r:id="rId9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9" name="CheckBox5"/>
      </mc:Fallback>
    </mc:AlternateContent>
    <mc:AlternateContent xmlns:mc="http://schemas.openxmlformats.org/markup-compatibility/2006">
      <mc:Choice Requires="x14">
        <control shapeId="7175" r:id="rId10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0" name="CheckBox6"/>
      </mc:Fallback>
    </mc:AlternateContent>
    <mc:AlternateContent xmlns:mc="http://schemas.openxmlformats.org/markup-compatibility/2006">
      <mc:Choice Requires="x14">
        <control shapeId="7176" r:id="rId11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1" name="CheckBox7"/>
      </mc:Fallback>
    </mc:AlternateContent>
    <mc:AlternateContent xmlns:mc="http://schemas.openxmlformats.org/markup-compatibility/2006">
      <mc:Choice Requires="x14">
        <control shapeId="7177" r:id="rId12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" name="CheckBox8"/>
      </mc:Fallback>
    </mc:AlternateContent>
    <mc:AlternateContent xmlns:mc="http://schemas.openxmlformats.org/markup-compatibility/2006">
      <mc:Choice Requires="x14">
        <control shapeId="7178" r:id="rId13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3" name="CheckBox9"/>
      </mc:Fallback>
    </mc:AlternateContent>
    <mc:AlternateContent xmlns:mc="http://schemas.openxmlformats.org/markup-compatibility/2006">
      <mc:Choice Requires="x14">
        <control shapeId="7179" r:id="rId14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4" name="CheckBox10"/>
      </mc:Fallback>
    </mc:AlternateContent>
    <mc:AlternateContent xmlns:mc="http://schemas.openxmlformats.org/markup-compatibility/2006">
      <mc:Choice Requires="x14">
        <control shapeId="7180" r:id="rId15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5" name="CheckBox11"/>
      </mc:Fallback>
    </mc:AlternateContent>
    <mc:AlternateContent xmlns:mc="http://schemas.openxmlformats.org/markup-compatibility/2006">
      <mc:Choice Requires="x14">
        <control shapeId="7181" r:id="rId16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6" name="CheckBox12"/>
      </mc:Fallback>
    </mc:AlternateContent>
    <mc:AlternateContent xmlns:mc="http://schemas.openxmlformats.org/markup-compatibility/2006">
      <mc:Choice Requires="x14">
        <control shapeId="7182" r:id="rId17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7" name="CheckBox13"/>
      </mc:Fallback>
    </mc:AlternateContent>
    <mc:AlternateContent xmlns:mc="http://schemas.openxmlformats.org/markup-compatibility/2006">
      <mc:Choice Requires="x14">
        <control shapeId="7183" r:id="rId18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8" name="CheckBox14"/>
      </mc:Fallback>
    </mc:AlternateContent>
    <mc:AlternateContent xmlns:mc="http://schemas.openxmlformats.org/markup-compatibility/2006">
      <mc:Choice Requires="x14">
        <control shapeId="7184" r:id="rId19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9" name="CheckBox15"/>
      </mc:Fallback>
    </mc:AlternateContent>
    <mc:AlternateContent xmlns:mc="http://schemas.openxmlformats.org/markup-compatibility/2006">
      <mc:Choice Requires="x14">
        <control shapeId="7185" r:id="rId20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20" name="CheckBox16"/>
      </mc:Fallback>
    </mc:AlternateContent>
    <mc:AlternateContent xmlns:mc="http://schemas.openxmlformats.org/markup-compatibility/2006">
      <mc:Choice Requires="x14">
        <control shapeId="7186" r:id="rId21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21" name="CheckBox17"/>
      </mc:Fallback>
    </mc:AlternateContent>
    <mc:AlternateContent xmlns:mc="http://schemas.openxmlformats.org/markup-compatibility/2006">
      <mc:Choice Requires="x14">
        <control shapeId="7187" r:id="rId22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22" name="CheckBox18"/>
      </mc:Fallback>
    </mc:AlternateContent>
    <mc:AlternateContent xmlns:mc="http://schemas.openxmlformats.org/markup-compatibility/2006">
      <mc:Choice Requires="x14">
        <control shapeId="7188" r:id="rId23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23" name="CheckBox19"/>
      </mc:Fallback>
    </mc:AlternateContent>
    <mc:AlternateContent xmlns:mc="http://schemas.openxmlformats.org/markup-compatibility/2006">
      <mc:Choice Requires="x14">
        <control shapeId="7189" r:id="rId24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24" name="CheckBox20"/>
      </mc:Fallback>
    </mc:AlternateContent>
    <mc:AlternateContent xmlns:mc="http://schemas.openxmlformats.org/markup-compatibility/2006">
      <mc:Choice Requires="x14">
        <control shapeId="7190" r:id="rId25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25" name="CheckBox21"/>
      </mc:Fallback>
    </mc:AlternateContent>
    <mc:AlternateContent xmlns:mc="http://schemas.openxmlformats.org/markup-compatibility/2006">
      <mc:Choice Requires="x14">
        <control shapeId="7191" r:id="rId26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26" name="CheckBox22"/>
      </mc:Fallback>
    </mc:AlternateContent>
    <mc:AlternateContent xmlns:mc="http://schemas.openxmlformats.org/markup-compatibility/2006">
      <mc:Choice Requires="x14">
        <control shapeId="7192" r:id="rId27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27" name="CheckBox23"/>
      </mc:Fallback>
    </mc:AlternateContent>
    <mc:AlternateContent xmlns:mc="http://schemas.openxmlformats.org/markup-compatibility/2006">
      <mc:Choice Requires="x14">
        <control shapeId="7193" r:id="rId28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28" name="CheckBox24"/>
      </mc:Fallback>
    </mc:AlternateContent>
    <mc:AlternateContent xmlns:mc="http://schemas.openxmlformats.org/markup-compatibility/2006">
      <mc:Choice Requires="x14">
        <control shapeId="7194" r:id="rId29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29" name="CheckBox25"/>
      </mc:Fallback>
    </mc:AlternateContent>
    <mc:AlternateContent xmlns:mc="http://schemas.openxmlformats.org/markup-compatibility/2006">
      <mc:Choice Requires="x14">
        <control shapeId="7195" r:id="rId30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30" name="CheckBox26"/>
      </mc:Fallback>
    </mc:AlternateContent>
    <mc:AlternateContent xmlns:mc="http://schemas.openxmlformats.org/markup-compatibility/2006">
      <mc:Choice Requires="x14">
        <control shapeId="7196" r:id="rId31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31" name="CheckBox27"/>
      </mc:Fallback>
    </mc:AlternateContent>
    <mc:AlternateContent xmlns:mc="http://schemas.openxmlformats.org/markup-compatibility/2006">
      <mc:Choice Requires="x14">
        <control shapeId="7197" r:id="rId32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32" name="CheckBox28"/>
      </mc:Fallback>
    </mc:AlternateContent>
    <mc:AlternateContent xmlns:mc="http://schemas.openxmlformats.org/markup-compatibility/2006">
      <mc:Choice Requires="x14">
        <control shapeId="7198" r:id="rId33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33" name="CheckBox29"/>
      </mc:Fallback>
    </mc:AlternateContent>
    <mc:AlternateContent xmlns:mc="http://schemas.openxmlformats.org/markup-compatibility/2006">
      <mc:Choice Requires="x14">
        <control shapeId="7199" r:id="rId34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34" name="CheckBox30"/>
      </mc:Fallback>
    </mc:AlternateContent>
    <mc:AlternateContent xmlns:mc="http://schemas.openxmlformats.org/markup-compatibility/2006">
      <mc:Choice Requires="x14">
        <control shapeId="7200" r:id="rId35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35" name="CheckBox31"/>
      </mc:Fallback>
    </mc:AlternateContent>
    <mc:AlternateContent xmlns:mc="http://schemas.openxmlformats.org/markup-compatibility/2006">
      <mc:Choice Requires="x14">
        <control shapeId="7201" r:id="rId36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36" name="CheckBox32"/>
      </mc:Fallback>
    </mc:AlternateContent>
    <mc:AlternateContent xmlns:mc="http://schemas.openxmlformats.org/markup-compatibility/2006">
      <mc:Choice Requires="x14">
        <control shapeId="7202" r:id="rId37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37" name="CheckBox33"/>
      </mc:Fallback>
    </mc:AlternateContent>
    <mc:AlternateContent xmlns:mc="http://schemas.openxmlformats.org/markup-compatibility/2006">
      <mc:Choice Requires="x14">
        <control shapeId="7203" r:id="rId38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38" name="CheckBox34"/>
      </mc:Fallback>
    </mc:AlternateContent>
    <mc:AlternateContent xmlns:mc="http://schemas.openxmlformats.org/markup-compatibility/2006">
      <mc:Choice Requires="x14">
        <control shapeId="7204" r:id="rId39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39" name="CheckBox35"/>
      </mc:Fallback>
    </mc:AlternateContent>
    <mc:AlternateContent xmlns:mc="http://schemas.openxmlformats.org/markup-compatibility/2006">
      <mc:Choice Requires="x14">
        <control shapeId="7205" r:id="rId40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40" name="CheckBox36"/>
      </mc:Fallback>
    </mc:AlternateContent>
    <mc:AlternateContent xmlns:mc="http://schemas.openxmlformats.org/markup-compatibility/2006">
      <mc:Choice Requires="x14">
        <control shapeId="7206" r:id="rId41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41" name="CheckBox37"/>
      </mc:Fallback>
    </mc:AlternateContent>
    <mc:AlternateContent xmlns:mc="http://schemas.openxmlformats.org/markup-compatibility/2006">
      <mc:Choice Requires="x14">
        <control shapeId="7207" r:id="rId42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42" name="CheckBox38"/>
      </mc:Fallback>
    </mc:AlternateContent>
    <mc:AlternateContent xmlns:mc="http://schemas.openxmlformats.org/markup-compatibility/2006">
      <mc:Choice Requires="x14">
        <control shapeId="7208" r:id="rId43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43" name="CheckBox39"/>
      </mc:Fallback>
    </mc:AlternateContent>
    <mc:AlternateContent xmlns:mc="http://schemas.openxmlformats.org/markup-compatibility/2006">
      <mc:Choice Requires="x14">
        <control shapeId="7209" r:id="rId44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44" name="CheckBox40"/>
      </mc:Fallback>
    </mc:AlternateContent>
    <mc:AlternateContent xmlns:mc="http://schemas.openxmlformats.org/markup-compatibility/2006">
      <mc:Choice Requires="x14">
        <control shapeId="7210" r:id="rId45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45" name="CheckBox41"/>
      </mc:Fallback>
    </mc:AlternateContent>
    <mc:AlternateContent xmlns:mc="http://schemas.openxmlformats.org/markup-compatibility/2006">
      <mc:Choice Requires="x14">
        <control shapeId="7211" r:id="rId46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46" name="CheckBox42"/>
      </mc:Fallback>
    </mc:AlternateContent>
    <mc:AlternateContent xmlns:mc="http://schemas.openxmlformats.org/markup-compatibility/2006">
      <mc:Choice Requires="x14">
        <control shapeId="7212" r:id="rId47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47" name="CheckBox43"/>
      </mc:Fallback>
    </mc:AlternateContent>
    <mc:AlternateContent xmlns:mc="http://schemas.openxmlformats.org/markup-compatibility/2006">
      <mc:Choice Requires="x14">
        <control shapeId="7213" r:id="rId48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48" name="CheckBox44"/>
      </mc:Fallback>
    </mc:AlternateContent>
    <mc:AlternateContent xmlns:mc="http://schemas.openxmlformats.org/markup-compatibility/2006">
      <mc:Choice Requires="x14">
        <control shapeId="7214" r:id="rId49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49" name="CheckBox45"/>
      </mc:Fallback>
    </mc:AlternateContent>
    <mc:AlternateContent xmlns:mc="http://schemas.openxmlformats.org/markup-compatibility/2006">
      <mc:Choice Requires="x14">
        <control shapeId="7215" r:id="rId50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50" name="CheckBox46"/>
      </mc:Fallback>
    </mc:AlternateContent>
    <mc:AlternateContent xmlns:mc="http://schemas.openxmlformats.org/markup-compatibility/2006">
      <mc:Choice Requires="x14">
        <control shapeId="7216" r:id="rId51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51" name="CheckBox47"/>
      </mc:Fallback>
    </mc:AlternateContent>
    <mc:AlternateContent xmlns:mc="http://schemas.openxmlformats.org/markup-compatibility/2006">
      <mc:Choice Requires="x14">
        <control shapeId="7217" r:id="rId52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52" name="CheckBox48"/>
      </mc:Fallback>
    </mc:AlternateContent>
    <mc:AlternateContent xmlns:mc="http://schemas.openxmlformats.org/markup-compatibility/2006">
      <mc:Choice Requires="x14">
        <control shapeId="7218" r:id="rId53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53" name="CheckBox49"/>
      </mc:Fallback>
    </mc:AlternateContent>
    <mc:AlternateContent xmlns:mc="http://schemas.openxmlformats.org/markup-compatibility/2006">
      <mc:Choice Requires="x14">
        <control shapeId="7219" r:id="rId54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54" name="CheckBox50"/>
      </mc:Fallback>
    </mc:AlternateContent>
    <mc:AlternateContent xmlns:mc="http://schemas.openxmlformats.org/markup-compatibility/2006">
      <mc:Choice Requires="x14">
        <control shapeId="7220" r:id="rId55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55" name="CheckBox51"/>
      </mc:Fallback>
    </mc:AlternateContent>
    <mc:AlternateContent xmlns:mc="http://schemas.openxmlformats.org/markup-compatibility/2006">
      <mc:Choice Requires="x14">
        <control shapeId="7221" r:id="rId56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56" name="CheckBox52"/>
      </mc:Fallback>
    </mc:AlternateContent>
    <mc:AlternateContent xmlns:mc="http://schemas.openxmlformats.org/markup-compatibility/2006">
      <mc:Choice Requires="x14">
        <control shapeId="7222" r:id="rId57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57" name="CheckBox53"/>
      </mc:Fallback>
    </mc:AlternateContent>
    <mc:AlternateContent xmlns:mc="http://schemas.openxmlformats.org/markup-compatibility/2006">
      <mc:Choice Requires="x14">
        <control shapeId="7223" r:id="rId58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58" name="CheckBox54"/>
      </mc:Fallback>
    </mc:AlternateContent>
    <mc:AlternateContent xmlns:mc="http://schemas.openxmlformats.org/markup-compatibility/2006">
      <mc:Choice Requires="x14">
        <control shapeId="7224" r:id="rId59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59" name="CheckBox55"/>
      </mc:Fallback>
    </mc:AlternateContent>
    <mc:AlternateContent xmlns:mc="http://schemas.openxmlformats.org/markup-compatibility/2006">
      <mc:Choice Requires="x14">
        <control shapeId="7225" r:id="rId60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60" name="CheckBox56"/>
      </mc:Fallback>
    </mc:AlternateContent>
    <mc:AlternateContent xmlns:mc="http://schemas.openxmlformats.org/markup-compatibility/2006">
      <mc:Choice Requires="x14">
        <control shapeId="7226" r:id="rId61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61" name="CheckBox57"/>
      </mc:Fallback>
    </mc:AlternateContent>
    <mc:AlternateContent xmlns:mc="http://schemas.openxmlformats.org/markup-compatibility/2006">
      <mc:Choice Requires="x14">
        <control shapeId="7227" r:id="rId62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62" name="CheckBox58"/>
      </mc:Fallback>
    </mc:AlternateContent>
    <mc:AlternateContent xmlns:mc="http://schemas.openxmlformats.org/markup-compatibility/2006">
      <mc:Choice Requires="x14">
        <control shapeId="7228" r:id="rId63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63" name="CheckBox59"/>
      </mc:Fallback>
    </mc:AlternateContent>
    <mc:AlternateContent xmlns:mc="http://schemas.openxmlformats.org/markup-compatibility/2006">
      <mc:Choice Requires="x14">
        <control shapeId="7229" r:id="rId64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4" name="CheckBox60"/>
      </mc:Fallback>
    </mc:AlternateContent>
    <mc:AlternateContent xmlns:mc="http://schemas.openxmlformats.org/markup-compatibility/2006">
      <mc:Choice Requires="x14">
        <control shapeId="7230" r:id="rId65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5" name="CheckBox61"/>
      </mc:Fallback>
    </mc:AlternateContent>
    <mc:AlternateContent xmlns:mc="http://schemas.openxmlformats.org/markup-compatibility/2006">
      <mc:Choice Requires="x14">
        <control shapeId="7231" r:id="rId66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6" name="CheckBox62"/>
      </mc:Fallback>
    </mc:AlternateContent>
    <mc:AlternateContent xmlns:mc="http://schemas.openxmlformats.org/markup-compatibility/2006">
      <mc:Choice Requires="x14">
        <control shapeId="7232" r:id="rId67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7" name="CheckBox63"/>
      </mc:Fallback>
    </mc:AlternateContent>
    <mc:AlternateContent xmlns:mc="http://schemas.openxmlformats.org/markup-compatibility/2006">
      <mc:Choice Requires="x14">
        <control shapeId="7233" r:id="rId68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8" name="CheckBox64"/>
      </mc:Fallback>
    </mc:AlternateContent>
    <mc:AlternateContent xmlns:mc="http://schemas.openxmlformats.org/markup-compatibility/2006">
      <mc:Choice Requires="x14">
        <control shapeId="7234" r:id="rId69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9" name="CheckBox65"/>
      </mc:Fallback>
    </mc:AlternateContent>
    <mc:AlternateContent xmlns:mc="http://schemas.openxmlformats.org/markup-compatibility/2006">
      <mc:Choice Requires="x14">
        <control shapeId="7235" r:id="rId70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70" name="CheckBox66"/>
      </mc:Fallback>
    </mc:AlternateContent>
    <mc:AlternateContent xmlns:mc="http://schemas.openxmlformats.org/markup-compatibility/2006">
      <mc:Choice Requires="x14">
        <control shapeId="7236" r:id="rId71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71" name="CheckBox67"/>
      </mc:Fallback>
    </mc:AlternateContent>
    <mc:AlternateContent xmlns:mc="http://schemas.openxmlformats.org/markup-compatibility/2006">
      <mc:Choice Requires="x14">
        <control shapeId="7237" r:id="rId72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72" name="CheckBox68"/>
      </mc:Fallback>
    </mc:AlternateContent>
    <mc:AlternateContent xmlns:mc="http://schemas.openxmlformats.org/markup-compatibility/2006">
      <mc:Choice Requires="x14">
        <control shapeId="7238" r:id="rId73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73" name="CheckBox69"/>
      </mc:Fallback>
    </mc:AlternateContent>
    <mc:AlternateContent xmlns:mc="http://schemas.openxmlformats.org/markup-compatibility/2006">
      <mc:Choice Requires="x14">
        <control shapeId="7239" r:id="rId74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74" name="CheckBox70"/>
      </mc:Fallback>
    </mc:AlternateContent>
    <mc:AlternateContent xmlns:mc="http://schemas.openxmlformats.org/markup-compatibility/2006">
      <mc:Choice Requires="x14">
        <control shapeId="7240" r:id="rId75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75" name="CheckBox71"/>
      </mc:Fallback>
    </mc:AlternateContent>
    <mc:AlternateContent xmlns:mc="http://schemas.openxmlformats.org/markup-compatibility/2006">
      <mc:Choice Requires="x14">
        <control shapeId="7241" r:id="rId76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76" name="CheckBox72"/>
      </mc:Fallback>
    </mc:AlternateContent>
    <mc:AlternateContent xmlns:mc="http://schemas.openxmlformats.org/markup-compatibility/2006">
      <mc:Choice Requires="x14">
        <control shapeId="7242" r:id="rId77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77" name="CheckBox73"/>
      </mc:Fallback>
    </mc:AlternateContent>
    <mc:AlternateContent xmlns:mc="http://schemas.openxmlformats.org/markup-compatibility/2006">
      <mc:Choice Requires="x14">
        <control shapeId="7243" r:id="rId78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78" name="CheckBox74"/>
      </mc:Fallback>
    </mc:AlternateContent>
    <mc:AlternateContent xmlns:mc="http://schemas.openxmlformats.org/markup-compatibility/2006">
      <mc:Choice Requires="x14">
        <control shapeId="7244" r:id="rId79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79" name="CheckBox75"/>
      </mc:Fallback>
    </mc:AlternateContent>
    <mc:AlternateContent xmlns:mc="http://schemas.openxmlformats.org/markup-compatibility/2006">
      <mc:Choice Requires="x14">
        <control shapeId="7245" r:id="rId80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80" name="CheckBox76"/>
      </mc:Fallback>
    </mc:AlternateContent>
    <mc:AlternateContent xmlns:mc="http://schemas.openxmlformats.org/markup-compatibility/2006">
      <mc:Choice Requires="x14">
        <control shapeId="7246" r:id="rId81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81" name="CheckBox77"/>
      </mc:Fallback>
    </mc:AlternateContent>
    <mc:AlternateContent xmlns:mc="http://schemas.openxmlformats.org/markup-compatibility/2006">
      <mc:Choice Requires="x14">
        <control shapeId="7247" r:id="rId82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82" name="CheckBox78"/>
      </mc:Fallback>
    </mc:AlternateContent>
    <mc:AlternateContent xmlns:mc="http://schemas.openxmlformats.org/markup-compatibility/2006">
      <mc:Choice Requires="x14">
        <control shapeId="7248" r:id="rId83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83" name="CheckBox79"/>
      </mc:Fallback>
    </mc:AlternateContent>
    <mc:AlternateContent xmlns:mc="http://schemas.openxmlformats.org/markup-compatibility/2006">
      <mc:Choice Requires="x14">
        <control shapeId="7249" r:id="rId84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84" name="CheckBox80"/>
      </mc:Fallback>
    </mc:AlternateContent>
    <mc:AlternateContent xmlns:mc="http://schemas.openxmlformats.org/markup-compatibility/2006">
      <mc:Choice Requires="x14">
        <control shapeId="7250" r:id="rId85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85" name="CheckBox81"/>
      </mc:Fallback>
    </mc:AlternateContent>
    <mc:AlternateContent xmlns:mc="http://schemas.openxmlformats.org/markup-compatibility/2006">
      <mc:Choice Requires="x14">
        <control shapeId="7251" r:id="rId86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86" name="CheckBox84"/>
      </mc:Fallback>
    </mc:AlternateContent>
    <mc:AlternateContent xmlns:mc="http://schemas.openxmlformats.org/markup-compatibility/2006">
      <mc:Choice Requires="x14">
        <control shapeId="7252" r:id="rId87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87" name="CheckBox85"/>
      </mc:Fallback>
    </mc:AlternateContent>
    <mc:AlternateContent xmlns:mc="http://schemas.openxmlformats.org/markup-compatibility/2006">
      <mc:Choice Requires="x14">
        <control shapeId="7253" r:id="rId88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88" name="CheckBox86"/>
      </mc:Fallback>
    </mc:AlternateContent>
    <mc:AlternateContent xmlns:mc="http://schemas.openxmlformats.org/markup-compatibility/2006">
      <mc:Choice Requires="x14">
        <control shapeId="7254" r:id="rId89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89" name="CheckBox87"/>
      </mc:Fallback>
    </mc:AlternateContent>
    <mc:AlternateContent xmlns:mc="http://schemas.openxmlformats.org/markup-compatibility/2006">
      <mc:Choice Requires="x14">
        <control shapeId="7255" r:id="rId90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90" name="CheckBox88"/>
      </mc:Fallback>
    </mc:AlternateContent>
    <mc:AlternateContent xmlns:mc="http://schemas.openxmlformats.org/markup-compatibility/2006">
      <mc:Choice Requires="x14">
        <control shapeId="7256" r:id="rId91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91" name="CheckBox89"/>
      </mc:Fallback>
    </mc:AlternateContent>
    <mc:AlternateContent xmlns:mc="http://schemas.openxmlformats.org/markup-compatibility/2006">
      <mc:Choice Requires="x14">
        <control shapeId="7257" r:id="rId92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92" name="CheckBox90"/>
      </mc:Fallback>
    </mc:AlternateContent>
    <mc:AlternateContent xmlns:mc="http://schemas.openxmlformats.org/markup-compatibility/2006">
      <mc:Choice Requires="x14">
        <control shapeId="7258" r:id="rId93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93" name="CheckBox91"/>
      </mc:Fallback>
    </mc:AlternateContent>
    <mc:AlternateContent xmlns:mc="http://schemas.openxmlformats.org/markup-compatibility/2006">
      <mc:Choice Requires="x14">
        <control shapeId="7259" r:id="rId94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94" name="CheckBox92"/>
      </mc:Fallback>
    </mc:AlternateContent>
    <mc:AlternateContent xmlns:mc="http://schemas.openxmlformats.org/markup-compatibility/2006">
      <mc:Choice Requires="x14">
        <control shapeId="7260" r:id="rId95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95" name="CheckBox93"/>
      </mc:Fallback>
    </mc:AlternateContent>
    <mc:AlternateContent xmlns:mc="http://schemas.openxmlformats.org/markup-compatibility/2006">
      <mc:Choice Requires="x14">
        <control shapeId="7261" r:id="rId96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96" name="CheckBox94"/>
      </mc:Fallback>
    </mc:AlternateContent>
    <mc:AlternateContent xmlns:mc="http://schemas.openxmlformats.org/markup-compatibility/2006">
      <mc:Choice Requires="x14">
        <control shapeId="7262" r:id="rId97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97" name="CheckBox95"/>
      </mc:Fallback>
    </mc:AlternateContent>
    <mc:AlternateContent xmlns:mc="http://schemas.openxmlformats.org/markup-compatibility/2006">
      <mc:Choice Requires="x14">
        <control shapeId="7263" r:id="rId98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98" name="CheckBox96"/>
      </mc:Fallback>
    </mc:AlternateContent>
    <mc:AlternateContent xmlns:mc="http://schemas.openxmlformats.org/markup-compatibility/2006">
      <mc:Choice Requires="x14">
        <control shapeId="7264" r:id="rId99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99" name="CheckBox97"/>
      </mc:Fallback>
    </mc:AlternateContent>
    <mc:AlternateContent xmlns:mc="http://schemas.openxmlformats.org/markup-compatibility/2006">
      <mc:Choice Requires="x14">
        <control shapeId="7265" r:id="rId100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100" name="CheckBox98"/>
      </mc:Fallback>
    </mc:AlternateContent>
    <mc:AlternateContent xmlns:mc="http://schemas.openxmlformats.org/markup-compatibility/2006">
      <mc:Choice Requires="x14">
        <control shapeId="7266" r:id="rId101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101" name="CheckBox99"/>
      </mc:Fallback>
    </mc:AlternateContent>
    <mc:AlternateContent xmlns:mc="http://schemas.openxmlformats.org/markup-compatibility/2006">
      <mc:Choice Requires="x14">
        <control shapeId="7267" r:id="rId102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102" name="CheckBox100"/>
      </mc:Fallback>
    </mc:AlternateContent>
    <mc:AlternateContent xmlns:mc="http://schemas.openxmlformats.org/markup-compatibility/2006">
      <mc:Choice Requires="x14">
        <control shapeId="7268" r:id="rId103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103" name="CheckBox101"/>
      </mc:Fallback>
    </mc:AlternateContent>
    <mc:AlternateContent xmlns:mc="http://schemas.openxmlformats.org/markup-compatibility/2006">
      <mc:Choice Requires="x14">
        <control shapeId="7269" r:id="rId104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104" name="CheckBox102"/>
      </mc:Fallback>
    </mc:AlternateContent>
    <mc:AlternateContent xmlns:mc="http://schemas.openxmlformats.org/markup-compatibility/2006">
      <mc:Choice Requires="x14">
        <control shapeId="7270" r:id="rId105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105" name="CheckBox103"/>
      </mc:Fallback>
    </mc:AlternateContent>
    <mc:AlternateContent xmlns:mc="http://schemas.openxmlformats.org/markup-compatibility/2006">
      <mc:Choice Requires="x14">
        <control shapeId="7271" r:id="rId106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106" name="CheckBox104"/>
      </mc:Fallback>
    </mc:AlternateContent>
    <mc:AlternateContent xmlns:mc="http://schemas.openxmlformats.org/markup-compatibility/2006">
      <mc:Choice Requires="x14">
        <control shapeId="7272" r:id="rId107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107" name="CheckBox105"/>
      </mc:Fallback>
    </mc:AlternateContent>
    <mc:AlternateContent xmlns:mc="http://schemas.openxmlformats.org/markup-compatibility/2006">
      <mc:Choice Requires="x14">
        <control shapeId="7273" r:id="rId108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108" name="CheckBox106"/>
      </mc:Fallback>
    </mc:AlternateContent>
    <mc:AlternateContent xmlns:mc="http://schemas.openxmlformats.org/markup-compatibility/2006">
      <mc:Choice Requires="x14">
        <control shapeId="7274" r:id="rId109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109" name="CheckBox107"/>
      </mc:Fallback>
    </mc:AlternateContent>
    <mc:AlternateContent xmlns:mc="http://schemas.openxmlformats.org/markup-compatibility/2006">
      <mc:Choice Requires="x14">
        <control shapeId="7275" r:id="rId110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110" name="CheckBox108"/>
      </mc:Fallback>
    </mc:AlternateContent>
    <mc:AlternateContent xmlns:mc="http://schemas.openxmlformats.org/markup-compatibility/2006">
      <mc:Choice Requires="x14">
        <control shapeId="7276" r:id="rId111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111" name="CheckBox109"/>
      </mc:Fallback>
    </mc:AlternateContent>
    <mc:AlternateContent xmlns:mc="http://schemas.openxmlformats.org/markup-compatibility/2006">
      <mc:Choice Requires="x14">
        <control shapeId="7277" r:id="rId112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112" name="CheckBox110"/>
      </mc:Fallback>
    </mc:AlternateContent>
    <mc:AlternateContent xmlns:mc="http://schemas.openxmlformats.org/markup-compatibility/2006">
      <mc:Choice Requires="x14">
        <control shapeId="7278" r:id="rId113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113" name="CheckBox111"/>
      </mc:Fallback>
    </mc:AlternateContent>
    <mc:AlternateContent xmlns:mc="http://schemas.openxmlformats.org/markup-compatibility/2006">
      <mc:Choice Requires="x14">
        <control shapeId="7279" r:id="rId114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14" name="CheckBox112"/>
      </mc:Fallback>
    </mc:AlternateContent>
    <mc:AlternateContent xmlns:mc="http://schemas.openxmlformats.org/markup-compatibility/2006">
      <mc:Choice Requires="x14">
        <control shapeId="7280" r:id="rId115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15" name="CheckBox113"/>
      </mc:Fallback>
    </mc:AlternateContent>
    <mc:AlternateContent xmlns:mc="http://schemas.openxmlformats.org/markup-compatibility/2006">
      <mc:Choice Requires="x14">
        <control shapeId="7281" r:id="rId116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16" name="CheckBox114"/>
      </mc:Fallback>
    </mc:AlternateContent>
    <mc:AlternateContent xmlns:mc="http://schemas.openxmlformats.org/markup-compatibility/2006">
      <mc:Choice Requires="x14">
        <control shapeId="7282" r:id="rId117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17" name="CheckBox115"/>
      </mc:Fallback>
    </mc:AlternateContent>
    <mc:AlternateContent xmlns:mc="http://schemas.openxmlformats.org/markup-compatibility/2006">
      <mc:Choice Requires="x14">
        <control shapeId="7283" r:id="rId118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18" name="CheckBox116"/>
      </mc:Fallback>
    </mc:AlternateContent>
    <mc:AlternateContent xmlns:mc="http://schemas.openxmlformats.org/markup-compatibility/2006">
      <mc:Choice Requires="x14">
        <control shapeId="7284" r:id="rId119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19" name="CheckBox117"/>
      </mc:Fallback>
    </mc:AlternateContent>
    <mc:AlternateContent xmlns:mc="http://schemas.openxmlformats.org/markup-compatibility/2006">
      <mc:Choice Requires="x14">
        <control shapeId="7285" r:id="rId120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20" name="CheckBox118"/>
      </mc:Fallback>
    </mc:AlternateContent>
    <mc:AlternateContent xmlns:mc="http://schemas.openxmlformats.org/markup-compatibility/2006">
      <mc:Choice Requires="x14">
        <control shapeId="7286" r:id="rId121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1" name="CheckBox119"/>
      </mc:Fallback>
    </mc:AlternateContent>
    <mc:AlternateContent xmlns:mc="http://schemas.openxmlformats.org/markup-compatibility/2006">
      <mc:Choice Requires="x14">
        <control shapeId="7287" r:id="rId122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22" name="CheckBox120"/>
      </mc:Fallback>
    </mc:AlternateContent>
    <mc:AlternateContent xmlns:mc="http://schemas.openxmlformats.org/markup-compatibility/2006">
      <mc:Choice Requires="x14">
        <control shapeId="7288" r:id="rId123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23" name="CheckBox121"/>
      </mc:Fallback>
    </mc:AlternateContent>
    <mc:AlternateContent xmlns:mc="http://schemas.openxmlformats.org/markup-compatibility/2006">
      <mc:Choice Requires="x14">
        <control shapeId="7289" r:id="rId124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124" name="CheckBox122"/>
      </mc:Fallback>
    </mc:AlternateContent>
    <mc:AlternateContent xmlns:mc="http://schemas.openxmlformats.org/markup-compatibility/2006">
      <mc:Choice Requires="x14">
        <control shapeId="7290" r:id="rId125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125" name="CheckBox123"/>
      </mc:Fallback>
    </mc:AlternateContent>
    <mc:AlternateContent xmlns:mc="http://schemas.openxmlformats.org/markup-compatibility/2006">
      <mc:Choice Requires="x14">
        <control shapeId="7291" r:id="rId126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126" name="CheckBox82"/>
      </mc:Fallback>
    </mc:AlternateContent>
    <mc:AlternateContent xmlns:mc="http://schemas.openxmlformats.org/markup-compatibility/2006">
      <mc:Choice Requires="x14">
        <control shapeId="7292" r:id="rId127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127" name="CheckBox83"/>
      </mc:Fallback>
    </mc:AlternateContent>
    <mc:AlternateContent xmlns:mc="http://schemas.openxmlformats.org/markup-compatibility/2006">
      <mc:Choice Requires="x14">
        <control shapeId="7293" r:id="rId128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128" name="CheckBox12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M54"/>
  <sheetViews>
    <sheetView workbookViewId="0">
      <selection activeCell="E3" sqref="E3"/>
    </sheetView>
  </sheetViews>
  <sheetFormatPr defaultRowHeight="12.75" x14ac:dyDescent="0.2"/>
  <cols>
    <col min="2" max="2" bestFit="1" width="20" customWidth="1"/>
    <col min="3" max="3" bestFit="1" width="27.140625" customWidth="1"/>
    <col min="4" max="4" width="4.28515625" customWidth="1"/>
    <col min="5" max="5" width="20.7109375" customWidth="1"/>
    <col min="6" max="6" width="4.140625" customWidth="1"/>
    <col min="7" max="7" width="20" customWidth="1"/>
    <col min="8" max="8" bestFit="1" width="20" customWidth="1"/>
    <col min="9" max="9" bestFit="1" width="24" customWidth="1"/>
    <col min="10" max="10" bestFit="1" width="19.140625" customWidth="1"/>
    <col min="11" max="11" bestFit="1" width="13.5703125" customWidth="1"/>
    <col min="12" max="12" bestFit="1" width="21.140625" customWidth="1"/>
    <col min="13" max="13" bestFit="1" width="27.140625" customWidth="1"/>
    <col min="14" max="14" bestFit="1" width="25.28515625" customWidth="1"/>
    <col min="15" max="15" bestFit="1" width="16" customWidth="1"/>
    <col min="16" max="16" bestFit="1" width="20.85546875" customWidth="1"/>
    <col min="17" max="17" bestFit="1" width="24.5703125" customWidth="1"/>
    <col min="18" max="18" bestFit="1" width="21.42578125" customWidth="1"/>
    <col min="19" max="19" bestFit="1" width="19.28515625" customWidth="1"/>
    <col min="20" max="21" bestFit="1" width="24" customWidth="1"/>
  </cols>
  <sheetData>
    <row r="2">
      <c r="B2" s="238" t="s">
        <v>131</v>
      </c>
      <c r="C2" s="238" t="s">
        <v>132</v>
      </c>
      <c r="E2" s="239"/>
      <c r="G2" s="238" t="s">
        <v>133</v>
      </c>
      <c r="H2" s="240" t="s">
        <v>134</v>
      </c>
    </row>
    <row r="3">
      <c r="B3" s="241" t="s">
        <v>46</v>
      </c>
      <c r="C3" s="241" t="s">
        <v>46</v>
      </c>
      <c r="E3" s="239" t="s">
        <v>134</v>
      </c>
      <c r="G3" s="238" t="s">
        <v>135</v>
      </c>
      <c r="H3" s="0" t="s">
        <v>134</v>
      </c>
      <c r="J3" s="238"/>
    </row>
    <row r="4">
      <c r="B4" s="238" t="s">
        <v>134</v>
      </c>
      <c r="C4" s="0" t="s">
        <v>134</v>
      </c>
      <c r="E4" s="239" t="s">
        <v>136</v>
      </c>
    </row>
    <row r="5">
      <c r="B5" s="0" t="s">
        <v>136</v>
      </c>
      <c r="C5" s="0" t="s">
        <v>136</v>
      </c>
      <c r="E5" s="239" t="s">
        <v>137</v>
      </c>
    </row>
    <row r="6">
      <c r="B6" s="0" t="s">
        <v>137</v>
      </c>
      <c r="C6" s="0" t="s">
        <v>138</v>
      </c>
      <c r="E6" s="239" t="s">
        <v>139</v>
      </c>
      <c r="H6" s="238"/>
      <c r="J6" s="238" t="s">
        <v>140</v>
      </c>
      <c r="K6" s="238" t="str">
        <f>INDIRECT("ProjectTypes[Type]")</f>
        <v>Bank</v>
      </c>
      <c r="M6" s="238" t="s">
        <v>141</v>
      </c>
    </row>
    <row r="7">
      <c r="B7" s="0" t="s">
        <v>137</v>
      </c>
      <c r="C7" s="0" t="s">
        <v>142</v>
      </c>
      <c r="E7" s="239" t="s">
        <v>143</v>
      </c>
      <c r="J7" s="238" t="s">
        <v>144</v>
      </c>
      <c r="K7" s="0">
        <f>MATCH(INDIRECT("H2"),INDIRECT("ProjectTypes[Category]"),0)-1</f>
        <v>1</v>
      </c>
      <c r="L7" s="238" t="s">
        <v>144</v>
      </c>
      <c r="M7" s="238" t="s">
        <v>145</v>
      </c>
    </row>
    <row r="8">
      <c r="B8" s="0" t="s">
        <v>137</v>
      </c>
      <c r="C8" s="0" t="s">
        <v>146</v>
      </c>
      <c r="E8" s="239" t="s">
        <v>147</v>
      </c>
      <c r="H8" s="238"/>
      <c r="J8" s="238" t="s">
        <v>148</v>
      </c>
      <c r="K8" s="0">
        <v>0</v>
      </c>
      <c r="L8" s="238" t="s">
        <v>149</v>
      </c>
      <c r="M8" s="238" t="s">
        <v>150</v>
      </c>
    </row>
    <row r="9">
      <c r="B9" s="0" t="s">
        <v>137</v>
      </c>
      <c r="C9" s="0" t="s">
        <v>151</v>
      </c>
      <c r="E9" s="239" t="s">
        <v>152</v>
      </c>
      <c r="J9" s="238" t="s">
        <v>153</v>
      </c>
      <c r="K9" s="0">
        <f>COUNTIF(INDIRECT("ProjectTypes[Category]"),INDIRECT("H2"))</f>
        <v>1</v>
      </c>
      <c r="L9" s="238" t="s">
        <v>144</v>
      </c>
      <c r="M9" s="238" t="s">
        <v>154</v>
      </c>
    </row>
    <row r="10">
      <c r="B10" s="0" t="s">
        <v>137</v>
      </c>
      <c r="C10" s="0" t="s">
        <v>155</v>
      </c>
      <c r="E10" s="239" t="s">
        <v>156</v>
      </c>
      <c r="I10" s="238"/>
      <c r="J10" s="238" t="s">
        <v>157</v>
      </c>
      <c r="K10" s="238">
        <v>1</v>
      </c>
      <c r="L10" s="238" t="s">
        <v>158</v>
      </c>
    </row>
    <row r="11">
      <c r="B11" s="0" t="s">
        <v>137</v>
      </c>
      <c r="C11" s="0" t="s">
        <v>159</v>
      </c>
      <c r="E11" s="239" t="s">
        <v>160</v>
      </c>
      <c r="I11" s="238"/>
      <c r="J11" s="238"/>
      <c r="K11" s="238"/>
    </row>
    <row r="12">
      <c r="B12" s="0" t="s">
        <v>137</v>
      </c>
      <c r="C12" s="0" t="s">
        <v>161</v>
      </c>
      <c r="E12" s="239" t="s">
        <v>162</v>
      </c>
      <c r="I12" s="238"/>
      <c r="J12" s="238"/>
      <c r="K12" s="238"/>
    </row>
    <row r="13">
      <c r="B13" s="0" t="s">
        <v>139</v>
      </c>
      <c r="C13" s="0" t="s">
        <v>139</v>
      </c>
      <c r="E13" s="239" t="s">
        <v>163</v>
      </c>
      <c r="I13" s="238"/>
      <c r="J13" s="238"/>
      <c r="K13" s="238"/>
    </row>
    <row r="14">
      <c r="B14" s="0" t="s">
        <v>143</v>
      </c>
      <c r="C14" s="0" t="s">
        <v>164</v>
      </c>
      <c r="E14" s="239" t="s">
        <v>165</v>
      </c>
      <c r="I14" s="238"/>
      <c r="J14" s="238"/>
      <c r="K14" s="238"/>
    </row>
    <row r="15">
      <c r="B15" s="0" t="s">
        <v>143</v>
      </c>
      <c r="C15" s="0" t="s">
        <v>166</v>
      </c>
      <c r="E15" s="239" t="s">
        <v>167</v>
      </c>
      <c r="I15" s="238"/>
      <c r="J15" s="238"/>
      <c r="K15" s="238"/>
    </row>
    <row r="16">
      <c r="B16" s="0" t="s">
        <v>143</v>
      </c>
      <c r="C16" s="0" t="s">
        <v>168</v>
      </c>
      <c r="E16" s="239" t="s">
        <v>169</v>
      </c>
      <c r="I16" s="238"/>
      <c r="J16" s="238"/>
      <c r="K16" s="238"/>
    </row>
    <row r="17">
      <c r="B17" s="0" t="s">
        <v>143</v>
      </c>
      <c r="C17" s="0" t="s">
        <v>170</v>
      </c>
      <c r="E17" s="239" t="s">
        <v>171</v>
      </c>
      <c r="I17" s="238"/>
      <c r="J17" s="238"/>
      <c r="K17" s="238"/>
    </row>
    <row r="18">
      <c r="B18" s="0" t="s">
        <v>143</v>
      </c>
      <c r="C18" s="0" t="s">
        <v>172</v>
      </c>
      <c r="E18" s="239" t="s">
        <v>173</v>
      </c>
    </row>
    <row r="19">
      <c r="B19" s="0" t="s">
        <v>143</v>
      </c>
      <c r="C19" s="0" t="s">
        <v>174</v>
      </c>
      <c r="E19" s="239" t="s">
        <v>175</v>
      </c>
    </row>
    <row r="20">
      <c r="B20" s="0" t="s">
        <v>147</v>
      </c>
      <c r="C20" s="0" t="s">
        <v>147</v>
      </c>
    </row>
    <row r="21">
      <c r="B21" s="0" t="s">
        <v>152</v>
      </c>
      <c r="C21" s="0" t="s">
        <v>176</v>
      </c>
    </row>
    <row r="22">
      <c r="B22" s="0" t="s">
        <v>152</v>
      </c>
      <c r="C22" s="0" t="s">
        <v>177</v>
      </c>
    </row>
    <row r="23">
      <c r="B23" s="0" t="s">
        <v>156</v>
      </c>
      <c r="C23" s="0" t="s">
        <v>156</v>
      </c>
    </row>
    <row r="24">
      <c r="B24" s="0" t="s">
        <v>160</v>
      </c>
      <c r="C24" s="0" t="s">
        <v>178</v>
      </c>
    </row>
    <row r="25">
      <c r="B25" s="0" t="s">
        <v>160</v>
      </c>
      <c r="C25" s="0" t="s">
        <v>179</v>
      </c>
    </row>
    <row r="26">
      <c r="B26" s="0" t="s">
        <v>160</v>
      </c>
      <c r="C26" s="0" t="s">
        <v>180</v>
      </c>
    </row>
    <row r="27">
      <c r="B27" s="0" t="s">
        <v>162</v>
      </c>
      <c r="C27" s="0" t="s">
        <v>181</v>
      </c>
    </row>
    <row r="28">
      <c r="B28" s="0" t="s">
        <v>163</v>
      </c>
      <c r="C28" s="0" t="s">
        <v>182</v>
      </c>
    </row>
    <row r="29">
      <c r="B29" s="0" t="s">
        <v>163</v>
      </c>
      <c r="C29" s="0" t="s">
        <v>183</v>
      </c>
    </row>
    <row r="30">
      <c r="B30" s="0" t="s">
        <v>163</v>
      </c>
      <c r="C30" s="0" t="s">
        <v>184</v>
      </c>
    </row>
    <row r="31">
      <c r="B31" s="0" t="s">
        <v>165</v>
      </c>
      <c r="C31" s="0" t="s">
        <v>185</v>
      </c>
    </row>
    <row r="32">
      <c r="B32" s="0" t="s">
        <v>167</v>
      </c>
      <c r="C32" s="0" t="s">
        <v>186</v>
      </c>
    </row>
    <row r="33">
      <c r="B33" s="0" t="s">
        <v>167</v>
      </c>
      <c r="C33" s="0" t="s">
        <v>187</v>
      </c>
    </row>
    <row r="34">
      <c r="B34" s="0" t="s">
        <v>167</v>
      </c>
      <c r="C34" s="0" t="s">
        <v>188</v>
      </c>
    </row>
    <row r="35">
      <c r="B35" s="0" t="s">
        <v>169</v>
      </c>
      <c r="C35" s="0" t="s">
        <v>189</v>
      </c>
    </row>
    <row r="36">
      <c r="B36" s="0" t="s">
        <v>169</v>
      </c>
      <c r="C36" s="0" t="s">
        <v>190</v>
      </c>
    </row>
    <row r="37">
      <c r="B37" s="0" t="s">
        <v>169</v>
      </c>
      <c r="C37" s="0" t="s">
        <v>191</v>
      </c>
    </row>
    <row r="38">
      <c r="B38" s="0" t="s">
        <v>169</v>
      </c>
      <c r="C38" s="0" t="s">
        <v>192</v>
      </c>
    </row>
    <row r="39">
      <c r="B39" s="0" t="s">
        <v>169</v>
      </c>
      <c r="C39" s="0" t="s">
        <v>193</v>
      </c>
    </row>
    <row r="40">
      <c r="B40" s="0" t="s">
        <v>169</v>
      </c>
      <c r="C40" s="0" t="s">
        <v>194</v>
      </c>
    </row>
    <row r="41">
      <c r="B41" s="0" t="s">
        <v>169</v>
      </c>
      <c r="C41" s="0" t="s">
        <v>195</v>
      </c>
    </row>
    <row r="42">
      <c r="B42" s="0" t="s">
        <v>169</v>
      </c>
      <c r="C42" s="0" t="s">
        <v>196</v>
      </c>
    </row>
    <row r="43">
      <c r="B43" s="0" t="s">
        <v>169</v>
      </c>
      <c r="C43" s="0" t="s">
        <v>197</v>
      </c>
    </row>
    <row r="44">
      <c r="B44" s="0" t="s">
        <v>169</v>
      </c>
      <c r="C44" s="0" t="s">
        <v>198</v>
      </c>
    </row>
    <row r="45">
      <c r="B45" s="0" t="s">
        <v>171</v>
      </c>
      <c r="C45" s="0" t="s">
        <v>171</v>
      </c>
    </row>
    <row r="46">
      <c r="B46" s="0" t="s">
        <v>173</v>
      </c>
      <c r="C46" s="0" t="s">
        <v>199</v>
      </c>
    </row>
    <row r="47">
      <c r="B47" s="0" t="s">
        <v>173</v>
      </c>
      <c r="C47" s="0" t="s">
        <v>200</v>
      </c>
    </row>
    <row r="48">
      <c r="B48" s="0" t="s">
        <v>173</v>
      </c>
      <c r="C48" s="0" t="s">
        <v>201</v>
      </c>
    </row>
    <row r="49">
      <c r="B49" s="0" t="s">
        <v>173</v>
      </c>
      <c r="C49" s="0" t="s">
        <v>202</v>
      </c>
    </row>
    <row r="50">
      <c r="B50" s="0" t="s">
        <v>173</v>
      </c>
      <c r="C50" s="0" t="s">
        <v>203</v>
      </c>
    </row>
    <row r="51">
      <c r="B51" s="0" t="s">
        <v>175</v>
      </c>
      <c r="C51" s="0" t="s">
        <v>204</v>
      </c>
    </row>
    <row r="52">
      <c r="B52" s="0" t="s">
        <v>175</v>
      </c>
      <c r="C52" s="0" t="s">
        <v>205</v>
      </c>
    </row>
    <row r="53">
      <c r="B53" s="0" t="s">
        <v>175</v>
      </c>
      <c r="C53" s="0" t="s">
        <v>206</v>
      </c>
    </row>
    <row r="54">
      <c r="B54" s="0" t="s">
        <v>175</v>
      </c>
      <c r="C54" s="0" t="s">
        <v>207</v>
      </c>
    </row>
  </sheetData>
  <dataValidations count="2">
    <dataValidation type="list" allowBlank="1" showInputMessage="1" showErrorMessage="1" sqref="H2">
      <formula1>OFFSET(E2,0,0,COUNTA(E:E)+1,1)</formula1>
    </dataValidation>
    <dataValidation type="list" allowBlank="1" showInputMessage="1" showErrorMessage="1" sqref="H3">
      <formula1>OFFSET(INDIRECT("ProjectTypes[Type]"),MATCH(INDIRECT("H2"),INDIRECT("ProjectTypes[Category]"),0)-1,0,COUNTIF(INDIRECT("ProjectTypes[Category]"),INDIRECT("H2")),1)</formula1>
    </dataValidation>
  </dataValidations>
  <pageMargins left="0.7" right="0.7" top="0.75" bottom="0.75" header="0.3" footer="0.3"/>
  <headerFooter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G43" sqref="G43"/>
    </sheetView>
  </sheetViews>
  <sheetFormatPr defaultRowHeight="12.75" x14ac:dyDescent="0.2"/>
  <sheetData>
    <row r="1" ht="15">
      <c r="A1" s="235"/>
    </row>
  </sheetData>
  <pageMargins left="0.7" right="0.7" top="0.75" bottom="0.75" header="0.3" footer="0.3"/>
  <headerFooter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C55"/>
  <sheetViews>
    <sheetView zoomScaleNormal="100" workbookViewId="0">
      <selection activeCell="V13" sqref="V13"/>
    </sheetView>
  </sheetViews>
  <sheetFormatPr defaultRowHeight="12.75" x14ac:dyDescent="0.2"/>
  <cols>
    <col min="1" max="1" width="9.7109375" customWidth="1" style="9"/>
    <col min="2" max="2" width="8.7109375" customWidth="1" style="9"/>
    <col min="3" max="3" width="22.7109375" customWidth="1" style="9"/>
    <col min="4" max="4" width="6.7109375" customWidth="1" style="9"/>
    <col min="5" max="5" width="7.7109375" customWidth="1" style="9"/>
    <col min="6" max="6" width="6.28515625" customWidth="1" style="9"/>
    <col min="7" max="7" width="5.7109375" customWidth="1" style="9"/>
    <col min="8" max="8" width="7.7109375" customWidth="1" style="9"/>
    <col min="9" max="9" width="6.28515625" customWidth="1" style="9"/>
    <col min="10" max="10" width="5.7109375" customWidth="1" style="9"/>
    <col min="11" max="15" width="7.7109375" customWidth="1" style="9"/>
    <col min="16" max="18" width="6.7109375" customWidth="1" style="9"/>
    <col min="19" max="19" width="10.7109375" customWidth="1" style="9"/>
    <col min="20" max="20" width="6.7109375" customWidth="1" style="9"/>
    <col min="21" max="21" width="7.7109375" customWidth="1" style="9"/>
    <col min="22" max="22" width="10.7109375" customWidth="1" style="9"/>
    <col min="23" max="23" width="6.7109375" customWidth="1" style="9"/>
    <col min="24" max="24" width="7.7109375" customWidth="1" style="9"/>
    <col min="25" max="25" bestFit="1" width="7.5703125" customWidth="1" style="9"/>
    <col min="26" max="27" width="7.7109375" customWidth="1" style="9"/>
    <col min="28" max="28" width="6.7109375" customWidth="1" style="9"/>
    <col min="29" max="29" width="7.7109375" customWidth="1" style="9"/>
    <col min="30" max="16384" width="9.140625" customWidth="1" style="9"/>
  </cols>
  <sheetData>
    <row r="1" ht="20.1" customHeight="1" s="10" customFormat="1">
      <c r="A1" s="244" t="s">
        <v>0</v>
      </c>
      <c r="B1" s="245"/>
      <c r="C1" s="274" t="str">
        <f>IF(ISBLANK(INDIRECT("Cover!D3")),"",INDIRECT("Cover!D3"))</f>
        <v>*</v>
      </c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4"/>
      <c r="U1" s="274"/>
      <c r="V1" s="274"/>
      <c r="W1" s="274"/>
      <c r="X1" s="274"/>
      <c r="Y1" s="274"/>
      <c r="Z1" s="23" t="s">
        <v>22</v>
      </c>
      <c r="AA1" s="256" t="str">
        <f>IF(ISBLANK(INDIRECT("Cover!O2")),"",INDIRECT("Cover!O2"))</f>
        <v>*</v>
      </c>
      <c r="AB1" s="256"/>
      <c r="AC1" s="257"/>
    </row>
    <row r="2" ht="20.1" customHeight="1" s="10" customFormat="1">
      <c r="A2" s="246" t="s">
        <v>2</v>
      </c>
      <c r="B2" s="247"/>
      <c r="C2" s="281" t="str">
        <f>IF(ISBLANK(INDIRECT("Cover!D4")),"",INDIRECT("Cover!D4"))</f>
        <v>*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2"/>
      <c r="AA2" s="59"/>
      <c r="AB2" s="33"/>
      <c r="AC2" s="165"/>
    </row>
    <row r="3" ht="20.1" customHeight="1" s="10" customFormat="1">
      <c r="A3" s="279" t="s">
        <v>23</v>
      </c>
      <c r="B3" s="279" t="s">
        <v>24</v>
      </c>
      <c r="C3" s="279" t="s">
        <v>25</v>
      </c>
      <c r="D3" s="266" t="s">
        <v>26</v>
      </c>
      <c r="E3" s="267"/>
      <c r="F3" s="264" t="s">
        <v>27</v>
      </c>
      <c r="G3" s="265"/>
      <c r="H3" s="265"/>
      <c r="I3" s="264" t="s">
        <v>28</v>
      </c>
      <c r="J3" s="265"/>
      <c r="K3" s="265"/>
      <c r="L3" s="264" t="s">
        <v>29</v>
      </c>
      <c r="M3" s="275"/>
      <c r="N3" s="24" t="s">
        <v>30</v>
      </c>
      <c r="O3" s="24" t="s">
        <v>31</v>
      </c>
      <c r="P3" s="278" t="s">
        <v>32</v>
      </c>
      <c r="Q3" s="265"/>
      <c r="R3" s="275"/>
      <c r="S3" s="264" t="s">
        <v>33</v>
      </c>
      <c r="T3" s="265"/>
      <c r="U3" s="265"/>
      <c r="V3" s="264" t="s">
        <v>34</v>
      </c>
      <c r="W3" s="265"/>
      <c r="X3" s="275"/>
      <c r="Y3" s="272" t="s">
        <v>35</v>
      </c>
      <c r="Z3" s="258" t="s">
        <v>36</v>
      </c>
      <c r="AA3" s="259"/>
      <c r="AB3" s="259"/>
      <c r="AC3" s="260"/>
    </row>
    <row r="4" ht="20.1" customHeight="1" s="10" customFormat="1">
      <c r="A4" s="280"/>
      <c r="B4" s="280"/>
      <c r="C4" s="280"/>
      <c r="D4" s="268"/>
      <c r="E4" s="269"/>
      <c r="F4" s="61" t="s">
        <v>37</v>
      </c>
      <c r="G4" s="270" t="s">
        <v>9</v>
      </c>
      <c r="H4" s="271"/>
      <c r="I4" s="61" t="s">
        <v>37</v>
      </c>
      <c r="J4" s="270" t="s">
        <v>9</v>
      </c>
      <c r="K4" s="271"/>
      <c r="L4" s="61" t="s">
        <v>38</v>
      </c>
      <c r="M4" s="62" t="s">
        <v>39</v>
      </c>
      <c r="N4" s="60" t="s">
        <v>40</v>
      </c>
      <c r="O4" s="169" t="s">
        <v>41</v>
      </c>
      <c r="P4" s="158" t="s">
        <v>7</v>
      </c>
      <c r="Q4" s="175" t="s">
        <v>42</v>
      </c>
      <c r="R4" s="155" t="s">
        <v>43</v>
      </c>
      <c r="S4" s="61" t="s">
        <v>44</v>
      </c>
      <c r="T4" s="270" t="s">
        <v>45</v>
      </c>
      <c r="U4" s="271"/>
      <c r="V4" s="61" t="s">
        <v>44</v>
      </c>
      <c r="W4" s="270" t="s">
        <v>45</v>
      </c>
      <c r="X4" s="271"/>
      <c r="Y4" s="273"/>
      <c r="Z4" s="261"/>
      <c r="AA4" s="262"/>
      <c r="AB4" s="262"/>
      <c r="AC4" s="263"/>
    </row>
    <row r="5" ht="20.1" customHeight="1" s="10" customFormat="1">
      <c r="A5" s="80">
        <v>1</v>
      </c>
      <c r="B5" s="81">
        <v>11</v>
      </c>
      <c r="C5" s="80" t="s">
        <v>81</v>
      </c>
      <c r="D5" s="82">
        <v>47</v>
      </c>
      <c r="E5" s="83">
        <v>6</v>
      </c>
      <c r="F5" s="168"/>
      <c r="G5" s="85"/>
      <c r="H5" s="86"/>
      <c r="I5" s="84"/>
      <c r="J5" s="85"/>
      <c r="K5" s="86"/>
      <c r="L5" s="87"/>
      <c r="M5" s="88"/>
      <c r="N5" s="89"/>
      <c r="O5" s="230"/>
      <c r="P5" s="177"/>
      <c r="Q5" s="176" t="s">
        <v>46</v>
      </c>
      <c r="R5" s="156"/>
      <c r="S5" s="166"/>
      <c r="T5" s="159"/>
      <c r="U5" s="160"/>
      <c r="V5" s="166"/>
      <c r="W5" s="159"/>
      <c r="X5" s="160"/>
      <c r="Y5" s="162"/>
      <c r="Z5" s="290" t="s">
        <v>82</v>
      </c>
      <c r="AA5" s="291"/>
      <c r="AB5" s="291"/>
      <c r="AC5" s="292"/>
    </row>
    <row r="6" ht="20.1" customHeight="1" s="10" customFormat="1">
      <c r="A6" s="63">
        <v>2</v>
      </c>
      <c r="B6" s="64">
        <v>11</v>
      </c>
      <c r="C6" s="63" t="s">
        <v>83</v>
      </c>
      <c r="D6" s="65">
        <v>12</v>
      </c>
      <c r="E6" s="66">
        <v>6</v>
      </c>
      <c r="F6" s="67"/>
      <c r="G6" s="42"/>
      <c r="H6" s="68"/>
      <c r="I6" s="67"/>
      <c r="J6" s="42"/>
      <c r="K6" s="68"/>
      <c r="L6" s="69"/>
      <c r="M6" s="70"/>
      <c r="N6" s="71"/>
      <c r="O6" s="173"/>
      <c r="P6" s="178"/>
      <c r="Q6" s="170"/>
      <c r="R6" s="157"/>
      <c r="S6" s="167"/>
      <c r="T6" s="42"/>
      <c r="U6" s="68"/>
      <c r="V6" s="167"/>
      <c r="W6" s="42"/>
      <c r="X6" s="68"/>
      <c r="Y6" s="161"/>
      <c r="Z6" s="253" t="s">
        <v>84</v>
      </c>
      <c r="AA6" s="254"/>
      <c r="AB6" s="254"/>
      <c r="AC6" s="255"/>
    </row>
    <row r="7" ht="20.1" customHeight="1" s="19" customFormat="1">
      <c r="A7" s="63">
        <v>3</v>
      </c>
      <c r="B7" s="64">
        <v>1</v>
      </c>
      <c r="C7" s="63" t="s">
        <v>85</v>
      </c>
      <c r="D7" s="65">
        <v>49</v>
      </c>
      <c r="E7" s="66">
        <v>6</v>
      </c>
      <c r="F7" s="67"/>
      <c r="G7" s="42"/>
      <c r="H7" s="68"/>
      <c r="I7" s="67"/>
      <c r="J7" s="42"/>
      <c r="K7" s="68"/>
      <c r="L7" s="69"/>
      <c r="M7" s="70"/>
      <c r="N7" s="71"/>
      <c r="O7" s="173"/>
      <c r="P7" s="178"/>
      <c r="Q7" s="170"/>
      <c r="R7" s="157"/>
      <c r="S7" s="167"/>
      <c r="T7" s="42"/>
      <c r="U7" s="68"/>
      <c r="V7" s="167"/>
      <c r="W7" s="42"/>
      <c r="X7" s="68"/>
      <c r="Y7" s="161"/>
      <c r="Z7" s="253" t="s">
        <v>86</v>
      </c>
      <c r="AA7" s="254"/>
      <c r="AB7" s="254"/>
      <c r="AC7" s="255"/>
    </row>
    <row r="8" ht="20.1" customHeight="1" s="19" customFormat="1">
      <c r="A8" s="63">
        <v>4</v>
      </c>
      <c r="B8" s="64">
        <v>1</v>
      </c>
      <c r="C8" s="63" t="s">
        <v>85</v>
      </c>
      <c r="D8" s="65">
        <v>49</v>
      </c>
      <c r="E8" s="66">
        <v>6</v>
      </c>
      <c r="F8" s="67"/>
      <c r="G8" s="42"/>
      <c r="H8" s="68"/>
      <c r="I8" s="67"/>
      <c r="J8" s="42"/>
      <c r="K8" s="68"/>
      <c r="L8" s="69"/>
      <c r="M8" s="70"/>
      <c r="N8" s="71"/>
      <c r="O8" s="173"/>
      <c r="P8" s="178"/>
      <c r="Q8" s="170"/>
      <c r="R8" s="157"/>
      <c r="S8" s="167"/>
      <c r="T8" s="42"/>
      <c r="U8" s="68"/>
      <c r="V8" s="167"/>
      <c r="W8" s="42"/>
      <c r="X8" s="68"/>
      <c r="Y8" s="161"/>
      <c r="Z8" s="253" t="s">
        <v>87</v>
      </c>
      <c r="AA8" s="254"/>
      <c r="AB8" s="254"/>
      <c r="AC8" s="255"/>
    </row>
    <row r="9" ht="20.1" customHeight="1" s="19" customFormat="1">
      <c r="A9" s="63">
        <v>5</v>
      </c>
      <c r="B9" s="64">
        <v>3</v>
      </c>
      <c r="C9" s="63" t="s">
        <v>85</v>
      </c>
      <c r="D9" s="65">
        <v>49</v>
      </c>
      <c r="E9" s="66">
        <v>6</v>
      </c>
      <c r="F9" s="67"/>
      <c r="G9" s="42"/>
      <c r="H9" s="68"/>
      <c r="I9" s="67"/>
      <c r="J9" s="42"/>
      <c r="K9" s="68"/>
      <c r="L9" s="69"/>
      <c r="M9" s="70"/>
      <c r="N9" s="71"/>
      <c r="O9" s="173"/>
      <c r="P9" s="178"/>
      <c r="Q9" s="232"/>
      <c r="R9" s="157"/>
      <c r="S9" s="167"/>
      <c r="T9" s="42"/>
      <c r="U9" s="68"/>
      <c r="V9" s="167"/>
      <c r="W9" s="42"/>
      <c r="X9" s="68"/>
      <c r="Y9" s="161"/>
      <c r="Z9" s="253" t="s">
        <v>88</v>
      </c>
      <c r="AA9" s="254"/>
      <c r="AB9" s="254"/>
      <c r="AC9" s="255"/>
    </row>
    <row r="10" ht="19.5" customHeight="1" s="19" customFormat="1">
      <c r="A10" s="63">
        <v>6</v>
      </c>
      <c r="B10" s="64">
        <v>2</v>
      </c>
      <c r="C10" s="63" t="s">
        <v>85</v>
      </c>
      <c r="D10" s="65">
        <v>49</v>
      </c>
      <c r="E10" s="66">
        <v>6</v>
      </c>
      <c r="F10" s="67"/>
      <c r="G10" s="42"/>
      <c r="H10" s="68"/>
      <c r="I10" s="67"/>
      <c r="J10" s="42"/>
      <c r="K10" s="68"/>
      <c r="L10" s="69"/>
      <c r="M10" s="70"/>
      <c r="N10" s="71"/>
      <c r="O10" s="173"/>
      <c r="P10" s="178"/>
      <c r="Q10" s="231"/>
      <c r="R10" s="157"/>
      <c r="S10" s="167"/>
      <c r="T10" s="42"/>
      <c r="U10" s="68"/>
      <c r="V10" s="167"/>
      <c r="W10" s="42"/>
      <c r="X10" s="68"/>
      <c r="Y10" s="161"/>
      <c r="Z10" s="253" t="s">
        <v>89</v>
      </c>
      <c r="AA10" s="254"/>
      <c r="AB10" s="254"/>
      <c r="AC10" s="255"/>
    </row>
    <row r="11" ht="20.1" customHeight="1" s="19" customFormat="1">
      <c r="A11" s="63">
        <v>7</v>
      </c>
      <c r="B11" s="64">
        <v>2</v>
      </c>
      <c r="C11" s="63" t="s">
        <v>85</v>
      </c>
      <c r="D11" s="65">
        <v>49</v>
      </c>
      <c r="E11" s="66">
        <v>6</v>
      </c>
      <c r="F11" s="67"/>
      <c r="G11" s="42"/>
      <c r="H11" s="68"/>
      <c r="I11" s="67"/>
      <c r="J11" s="42"/>
      <c r="K11" s="68"/>
      <c r="L11" s="69"/>
      <c r="M11" s="70"/>
      <c r="N11" s="71"/>
      <c r="O11" s="173"/>
      <c r="P11" s="178"/>
      <c r="Q11" s="170"/>
      <c r="R11" s="157"/>
      <c r="S11" s="167"/>
      <c r="T11" s="42"/>
      <c r="U11" s="68"/>
      <c r="V11" s="167"/>
      <c r="W11" s="42"/>
      <c r="X11" s="68"/>
      <c r="Y11" s="161"/>
      <c r="Z11" s="253" t="s">
        <v>90</v>
      </c>
      <c r="AA11" s="254"/>
      <c r="AB11" s="254"/>
      <c r="AC11" s="255"/>
    </row>
    <row r="12" ht="20.1" customHeight="1" s="19" customFormat="1">
      <c r="A12" s="63">
        <v>8</v>
      </c>
      <c r="B12" s="64">
        <v>1</v>
      </c>
      <c r="C12" s="63" t="s">
        <v>91</v>
      </c>
      <c r="D12" s="65">
        <v>49</v>
      </c>
      <c r="E12" s="66">
        <v>6</v>
      </c>
      <c r="F12" s="67"/>
      <c r="G12" s="42"/>
      <c r="H12" s="68"/>
      <c r="I12" s="67"/>
      <c r="J12" s="42"/>
      <c r="K12" s="68"/>
      <c r="L12" s="69"/>
      <c r="M12" s="70"/>
      <c r="N12" s="71"/>
      <c r="O12" s="173"/>
      <c r="P12" s="178"/>
      <c r="Q12" s="233"/>
      <c r="R12" s="157"/>
      <c r="S12" s="167"/>
      <c r="T12" s="42"/>
      <c r="U12" s="68"/>
      <c r="V12" s="167"/>
      <c r="W12" s="42"/>
      <c r="X12" s="68"/>
      <c r="Y12" s="161"/>
      <c r="Z12" s="253" t="s">
        <v>92</v>
      </c>
      <c r="AA12" s="254"/>
      <c r="AB12" s="254"/>
      <c r="AC12" s="255"/>
    </row>
    <row r="13" ht="20.1" customHeight="1" s="19" customFormat="1">
      <c r="A13" s="63">
        <v>9</v>
      </c>
      <c r="B13" s="64">
        <v>13</v>
      </c>
      <c r="C13" s="63" t="s">
        <v>93</v>
      </c>
      <c r="D13" s="65">
        <v>37</v>
      </c>
      <c r="E13" s="66">
        <v>6</v>
      </c>
      <c r="F13" s="67"/>
      <c r="G13" s="42"/>
      <c r="H13" s="68"/>
      <c r="I13" s="67"/>
      <c r="J13" s="42"/>
      <c r="K13" s="68"/>
      <c r="L13" s="69"/>
      <c r="M13" s="70"/>
      <c r="N13" s="71"/>
      <c r="O13" s="173"/>
      <c r="P13" s="178"/>
      <c r="Q13" s="170"/>
      <c r="R13" s="157"/>
      <c r="S13" s="167"/>
      <c r="T13" s="42"/>
      <c r="U13" s="68"/>
      <c r="V13" s="167"/>
      <c r="W13" s="42"/>
      <c r="X13" s="68"/>
      <c r="Y13" s="161"/>
      <c r="Z13" s="253" t="s">
        <v>94</v>
      </c>
      <c r="AA13" s="254"/>
      <c r="AB13" s="254"/>
      <c r="AC13" s="255"/>
    </row>
    <row r="14" ht="20.1" customHeight="1" s="19" customFormat="1">
      <c r="A14" s="63">
        <v>10</v>
      </c>
      <c r="B14" s="64">
        <v>1</v>
      </c>
      <c r="C14" s="63" t="s">
        <v>95</v>
      </c>
      <c r="D14" s="65">
        <v>37</v>
      </c>
      <c r="E14" s="66">
        <v>6</v>
      </c>
      <c r="F14" s="67"/>
      <c r="G14" s="42"/>
      <c r="H14" s="68"/>
      <c r="I14" s="67"/>
      <c r="J14" s="42"/>
      <c r="K14" s="68"/>
      <c r="L14" s="69"/>
      <c r="M14" s="70"/>
      <c r="N14" s="71"/>
      <c r="O14" s="173"/>
      <c r="P14" s="178"/>
      <c r="Q14" s="234"/>
      <c r="R14" s="157"/>
      <c r="S14" s="167"/>
      <c r="T14" s="42"/>
      <c r="U14" s="68"/>
      <c r="V14" s="167"/>
      <c r="W14" s="42"/>
      <c r="X14" s="68"/>
      <c r="Y14" s="161"/>
      <c r="Z14" s="253" t="s">
        <v>96</v>
      </c>
      <c r="AA14" s="254"/>
      <c r="AB14" s="254"/>
      <c r="AC14" s="255"/>
    </row>
    <row r="15" ht="20.1" customHeight="1" s="19" customFormat="1">
      <c r="A15" s="63">
        <v>11</v>
      </c>
      <c r="B15" s="64">
        <v>1</v>
      </c>
      <c r="C15" s="63" t="s">
        <v>95</v>
      </c>
      <c r="D15" s="65">
        <v>37</v>
      </c>
      <c r="E15" s="66">
        <v>6</v>
      </c>
      <c r="F15" s="67"/>
      <c r="G15" s="42"/>
      <c r="H15" s="68"/>
      <c r="I15" s="67"/>
      <c r="J15" s="42"/>
      <c r="K15" s="68"/>
      <c r="L15" s="69"/>
      <c r="M15" s="70"/>
      <c r="N15" s="71"/>
      <c r="O15" s="173"/>
      <c r="P15" s="178"/>
      <c r="Q15" s="232"/>
      <c r="R15" s="157"/>
      <c r="S15" s="167"/>
      <c r="T15" s="42"/>
      <c r="U15" s="68"/>
      <c r="V15" s="167"/>
      <c r="W15" s="42"/>
      <c r="X15" s="68"/>
      <c r="Y15" s="161"/>
      <c r="Z15" s="253" t="s">
        <v>97</v>
      </c>
      <c r="AA15" s="254"/>
      <c r="AB15" s="254"/>
      <c r="AC15" s="255"/>
    </row>
    <row r="16" ht="20.1" customHeight="1" s="19" customFormat="1">
      <c r="A16" s="63">
        <v>12</v>
      </c>
      <c r="B16" s="64">
        <v>9</v>
      </c>
      <c r="C16" s="63" t="s">
        <v>93</v>
      </c>
      <c r="D16" s="65">
        <v>37</v>
      </c>
      <c r="E16" s="66">
        <v>6</v>
      </c>
      <c r="F16" s="67"/>
      <c r="G16" s="42"/>
      <c r="H16" s="68"/>
      <c r="I16" s="67"/>
      <c r="J16" s="42"/>
      <c r="K16" s="68"/>
      <c r="L16" s="69"/>
      <c r="M16" s="70"/>
      <c r="N16" s="71"/>
      <c r="O16" s="173"/>
      <c r="P16" s="178"/>
      <c r="Q16" s="232"/>
      <c r="R16" s="157"/>
      <c r="S16" s="167"/>
      <c r="T16" s="42"/>
      <c r="U16" s="68"/>
      <c r="V16" s="167"/>
      <c r="W16" s="42"/>
      <c r="X16" s="68"/>
      <c r="Y16" s="161"/>
      <c r="Z16" s="253" t="s">
        <v>98</v>
      </c>
      <c r="AA16" s="254"/>
      <c r="AB16" s="254"/>
      <c r="AC16" s="255"/>
    </row>
    <row r="17" ht="20.1" customHeight="1" s="19" customFormat="1">
      <c r="A17" s="63">
        <v>13</v>
      </c>
      <c r="B17" s="64">
        <v>1</v>
      </c>
      <c r="C17" s="63" t="s">
        <v>99</v>
      </c>
      <c r="D17" s="65">
        <v>7</v>
      </c>
      <c r="E17" s="66">
        <v>0</v>
      </c>
      <c r="F17" s="67"/>
      <c r="G17" s="42"/>
      <c r="H17" s="68"/>
      <c r="I17" s="67"/>
      <c r="J17" s="42"/>
      <c r="K17" s="68"/>
      <c r="L17" s="69"/>
      <c r="M17" s="70"/>
      <c r="N17" s="71"/>
      <c r="O17" s="173"/>
      <c r="P17" s="178"/>
      <c r="Q17" s="232"/>
      <c r="R17" s="157"/>
      <c r="S17" s="167"/>
      <c r="T17" s="42"/>
      <c r="U17" s="68"/>
      <c r="V17" s="167"/>
      <c r="W17" s="42"/>
      <c r="X17" s="68"/>
      <c r="Y17" s="161"/>
      <c r="Z17" s="253" t="s">
        <v>100</v>
      </c>
      <c r="AA17" s="254"/>
      <c r="AB17" s="254"/>
      <c r="AC17" s="255"/>
    </row>
    <row r="18" ht="20.1" customHeight="1" s="19" customFormat="1">
      <c r="A18" s="63">
        <v>14</v>
      </c>
      <c r="B18" s="64">
        <v>1</v>
      </c>
      <c r="C18" s="63" t="s">
        <v>85</v>
      </c>
      <c r="D18" s="65">
        <v>50</v>
      </c>
      <c r="E18" s="66">
        <v>0</v>
      </c>
      <c r="F18" s="67"/>
      <c r="G18" s="42"/>
      <c r="H18" s="68"/>
      <c r="I18" s="67"/>
      <c r="J18" s="42"/>
      <c r="K18" s="68"/>
      <c r="L18" s="69"/>
      <c r="M18" s="70"/>
      <c r="N18" s="71"/>
      <c r="O18" s="173"/>
      <c r="P18" s="178"/>
      <c r="Q18" s="234"/>
      <c r="R18" s="157"/>
      <c r="S18" s="167"/>
      <c r="T18" s="42"/>
      <c r="U18" s="68"/>
      <c r="V18" s="167"/>
      <c r="W18" s="42"/>
      <c r="X18" s="68"/>
      <c r="Y18" s="161"/>
      <c r="Z18" s="253" t="s">
        <v>101</v>
      </c>
      <c r="AA18" s="254"/>
      <c r="AB18" s="254"/>
      <c r="AC18" s="255"/>
    </row>
    <row r="19" ht="20.1" customHeight="1" s="19" customFormat="1">
      <c r="A19" s="63">
        <v>15</v>
      </c>
      <c r="B19" s="64">
        <v>1</v>
      </c>
      <c r="C19" s="63" t="s">
        <v>85</v>
      </c>
      <c r="D19" s="65">
        <v>50</v>
      </c>
      <c r="E19" s="66">
        <v>0</v>
      </c>
      <c r="F19" s="67"/>
      <c r="G19" s="42"/>
      <c r="H19" s="68"/>
      <c r="I19" s="67"/>
      <c r="J19" s="42"/>
      <c r="K19" s="68"/>
      <c r="L19" s="69"/>
      <c r="M19" s="70"/>
      <c r="N19" s="71"/>
      <c r="O19" s="173"/>
      <c r="P19" s="178"/>
      <c r="Q19" s="170"/>
      <c r="R19" s="157"/>
      <c r="S19" s="167"/>
      <c r="T19" s="42"/>
      <c r="U19" s="68"/>
      <c r="V19" s="167"/>
      <c r="W19" s="42"/>
      <c r="X19" s="68"/>
      <c r="Y19" s="161"/>
      <c r="Z19" s="253" t="s">
        <v>102</v>
      </c>
      <c r="AA19" s="254"/>
      <c r="AB19" s="254"/>
      <c r="AC19" s="255"/>
    </row>
    <row r="20" ht="20.1" customHeight="1" s="19" customFormat="1">
      <c r="A20" s="63">
        <v>16</v>
      </c>
      <c r="B20" s="64">
        <v>1</v>
      </c>
      <c r="C20" s="63" t="s">
        <v>85</v>
      </c>
      <c r="D20" s="65">
        <v>50</v>
      </c>
      <c r="E20" s="66">
        <v>0</v>
      </c>
      <c r="F20" s="67"/>
      <c r="G20" s="42"/>
      <c r="H20" s="68"/>
      <c r="I20" s="67"/>
      <c r="J20" s="42"/>
      <c r="K20" s="68"/>
      <c r="L20" s="69"/>
      <c r="M20" s="70"/>
      <c r="N20" s="71"/>
      <c r="O20" s="173"/>
      <c r="P20" s="178"/>
      <c r="Q20" s="170"/>
      <c r="R20" s="157"/>
      <c r="S20" s="167"/>
      <c r="T20" s="42"/>
      <c r="U20" s="68"/>
      <c r="V20" s="167"/>
      <c r="W20" s="42"/>
      <c r="X20" s="68"/>
      <c r="Y20" s="161"/>
      <c r="Z20" s="253" t="s">
        <v>103</v>
      </c>
      <c r="AA20" s="254"/>
      <c r="AB20" s="254"/>
      <c r="AC20" s="255"/>
    </row>
    <row r="21" ht="20.1" customHeight="1" s="19" customFormat="1">
      <c r="A21" s="63">
        <v>17</v>
      </c>
      <c r="B21" s="64">
        <v>6</v>
      </c>
      <c r="C21" s="63" t="s">
        <v>85</v>
      </c>
      <c r="D21" s="65">
        <v>50</v>
      </c>
      <c r="E21" s="66">
        <v>0</v>
      </c>
      <c r="F21" s="67"/>
      <c r="G21" s="42"/>
      <c r="H21" s="68"/>
      <c r="I21" s="67"/>
      <c r="J21" s="42"/>
      <c r="K21" s="68"/>
      <c r="L21" s="69"/>
      <c r="M21" s="70"/>
      <c r="N21" s="71"/>
      <c r="O21" s="173"/>
      <c r="P21" s="178"/>
      <c r="Q21" s="232"/>
      <c r="R21" s="157"/>
      <c r="S21" s="167"/>
      <c r="T21" s="42"/>
      <c r="U21" s="68"/>
      <c r="V21" s="167"/>
      <c r="W21" s="42"/>
      <c r="X21" s="68"/>
      <c r="Y21" s="161"/>
      <c r="Z21" s="253" t="s">
        <v>104</v>
      </c>
      <c r="AA21" s="254"/>
      <c r="AB21" s="254"/>
      <c r="AC21" s="255"/>
    </row>
    <row r="22" ht="20.1" customHeight="1" s="19" customFormat="1">
      <c r="A22" s="63">
        <v>18</v>
      </c>
      <c r="B22" s="64">
        <v>23</v>
      </c>
      <c r="C22" s="63" t="s">
        <v>91</v>
      </c>
      <c r="D22" s="65">
        <v>50</v>
      </c>
      <c r="E22" s="66">
        <v>0</v>
      </c>
      <c r="F22" s="67"/>
      <c r="G22" s="42"/>
      <c r="H22" s="68"/>
      <c r="I22" s="67"/>
      <c r="J22" s="42"/>
      <c r="K22" s="68"/>
      <c r="L22" s="69"/>
      <c r="M22" s="70"/>
      <c r="N22" s="71"/>
      <c r="O22" s="173"/>
      <c r="P22" s="178"/>
      <c r="Q22" s="232"/>
      <c r="R22" s="157"/>
      <c r="S22" s="167"/>
      <c r="T22" s="42"/>
      <c r="U22" s="68"/>
      <c r="V22" s="167"/>
      <c r="W22" s="42"/>
      <c r="X22" s="68"/>
      <c r="Y22" s="161"/>
      <c r="Z22" s="253" t="s">
        <v>105</v>
      </c>
      <c r="AA22" s="254"/>
      <c r="AB22" s="254"/>
      <c r="AC22" s="255"/>
    </row>
    <row r="23" ht="20.1" customHeight="1" s="19" customFormat="1">
      <c r="A23" s="63">
        <v>19</v>
      </c>
      <c r="B23" s="64">
        <v>16</v>
      </c>
      <c r="C23" s="63" t="s">
        <v>91</v>
      </c>
      <c r="D23" s="65">
        <v>49</v>
      </c>
      <c r="E23" s="66">
        <v>6</v>
      </c>
      <c r="F23" s="67"/>
      <c r="G23" s="42"/>
      <c r="H23" s="68"/>
      <c r="I23" s="67"/>
      <c r="J23" s="42"/>
      <c r="K23" s="68"/>
      <c r="L23" s="69"/>
      <c r="M23" s="70"/>
      <c r="N23" s="71"/>
      <c r="O23" s="173"/>
      <c r="P23" s="178"/>
      <c r="Q23" s="234"/>
      <c r="R23" s="157"/>
      <c r="S23" s="167"/>
      <c r="T23" s="42"/>
      <c r="U23" s="68"/>
      <c r="V23" s="167"/>
      <c r="W23" s="42"/>
      <c r="X23" s="68"/>
      <c r="Y23" s="161"/>
      <c r="Z23" s="253" t="s">
        <v>106</v>
      </c>
      <c r="AA23" s="254"/>
      <c r="AB23" s="254"/>
      <c r="AC23" s="255"/>
    </row>
    <row r="24" ht="20.1" customHeight="1" s="19" customFormat="1">
      <c r="A24" s="63">
        <v>20</v>
      </c>
      <c r="B24" s="64">
        <v>1</v>
      </c>
      <c r="C24" s="63" t="s">
        <v>91</v>
      </c>
      <c r="D24" s="65">
        <v>49</v>
      </c>
      <c r="E24" s="66">
        <v>6</v>
      </c>
      <c r="F24" s="67"/>
      <c r="G24" s="42"/>
      <c r="H24" s="68"/>
      <c r="I24" s="67"/>
      <c r="J24" s="42"/>
      <c r="K24" s="68"/>
      <c r="L24" s="69"/>
      <c r="M24" s="70"/>
      <c r="N24" s="71"/>
      <c r="O24" s="173"/>
      <c r="P24" s="178"/>
      <c r="Q24" s="170"/>
      <c r="R24" s="157"/>
      <c r="S24" s="167"/>
      <c r="T24" s="42"/>
      <c r="U24" s="68"/>
      <c r="V24" s="167"/>
      <c r="W24" s="42"/>
      <c r="X24" s="68"/>
      <c r="Y24" s="161"/>
      <c r="Z24" s="253" t="s">
        <v>107</v>
      </c>
      <c r="AA24" s="254"/>
      <c r="AB24" s="254"/>
      <c r="AC24" s="255"/>
    </row>
    <row r="25" ht="20.1" customHeight="1" s="19" customFormat="1">
      <c r="A25" s="63">
        <v>21</v>
      </c>
      <c r="B25" s="64">
        <v>1</v>
      </c>
      <c r="C25" s="63" t="s">
        <v>91</v>
      </c>
      <c r="D25" s="65">
        <v>49</v>
      </c>
      <c r="E25" s="66">
        <v>6</v>
      </c>
      <c r="F25" s="67"/>
      <c r="G25" s="42"/>
      <c r="H25" s="68"/>
      <c r="I25" s="67"/>
      <c r="J25" s="42"/>
      <c r="K25" s="68"/>
      <c r="L25" s="69"/>
      <c r="M25" s="70"/>
      <c r="N25" s="71"/>
      <c r="O25" s="173"/>
      <c r="P25" s="178"/>
      <c r="Q25" s="233"/>
      <c r="R25" s="157"/>
      <c r="S25" s="167"/>
      <c r="T25" s="42"/>
      <c r="U25" s="68"/>
      <c r="V25" s="167"/>
      <c r="W25" s="42"/>
      <c r="X25" s="68"/>
      <c r="Y25" s="161"/>
      <c r="Z25" s="253" t="s">
        <v>108</v>
      </c>
      <c r="AA25" s="254"/>
      <c r="AB25" s="254"/>
      <c r="AC25" s="255"/>
    </row>
    <row r="26" ht="20.1" customHeight="1" s="19" customFormat="1">
      <c r="A26" s="63">
        <v>22</v>
      </c>
      <c r="B26" s="64">
        <v>1</v>
      </c>
      <c r="C26" s="63" t="s">
        <v>91</v>
      </c>
      <c r="D26" s="65">
        <v>49</v>
      </c>
      <c r="E26" s="66">
        <v>6</v>
      </c>
      <c r="F26" s="67"/>
      <c r="G26" s="42"/>
      <c r="H26" s="68"/>
      <c r="I26" s="67"/>
      <c r="J26" s="42"/>
      <c r="K26" s="68"/>
      <c r="L26" s="69"/>
      <c r="M26" s="70"/>
      <c r="N26" s="71"/>
      <c r="O26" s="173"/>
      <c r="P26" s="178"/>
      <c r="Q26" s="233"/>
      <c r="R26" s="157"/>
      <c r="S26" s="167"/>
      <c r="T26" s="42"/>
      <c r="U26" s="68"/>
      <c r="V26" s="167"/>
      <c r="W26" s="42"/>
      <c r="X26" s="68"/>
      <c r="Y26" s="161"/>
      <c r="Z26" s="253" t="s">
        <v>109</v>
      </c>
      <c r="AA26" s="254"/>
      <c r="AB26" s="254"/>
      <c r="AC26" s="255"/>
    </row>
    <row r="27" ht="20.1" customHeight="1" s="19" customFormat="1">
      <c r="A27" s="63">
        <v>23</v>
      </c>
      <c r="B27" s="64">
        <v>1</v>
      </c>
      <c r="C27" s="63" t="s">
        <v>110</v>
      </c>
      <c r="D27" s="65">
        <v>50</v>
      </c>
      <c r="E27" s="66">
        <v>0</v>
      </c>
      <c r="F27" s="67"/>
      <c r="G27" s="42"/>
      <c r="H27" s="68"/>
      <c r="I27" s="67"/>
      <c r="J27" s="42"/>
      <c r="K27" s="68"/>
      <c r="L27" s="69"/>
      <c r="M27" s="70"/>
      <c r="N27" s="71"/>
      <c r="O27" s="173"/>
      <c r="P27" s="178"/>
      <c r="Q27" s="234"/>
      <c r="R27" s="157"/>
      <c r="S27" s="167"/>
      <c r="T27" s="42"/>
      <c r="U27" s="68"/>
      <c r="V27" s="167"/>
      <c r="W27" s="42"/>
      <c r="X27" s="68"/>
      <c r="Y27" s="161"/>
      <c r="Z27" s="253" t="s">
        <v>111</v>
      </c>
      <c r="AA27" s="254"/>
      <c r="AB27" s="254"/>
      <c r="AC27" s="255"/>
    </row>
    <row r="28" ht="20.1" customHeight="1" s="19" customFormat="1">
      <c r="A28" s="63">
        <v>24</v>
      </c>
      <c r="B28" s="64">
        <v>2</v>
      </c>
      <c r="C28" s="63" t="s">
        <v>112</v>
      </c>
      <c r="D28" s="65">
        <v>50</v>
      </c>
      <c r="E28" s="66">
        <v>0</v>
      </c>
      <c r="F28" s="67"/>
      <c r="G28" s="42"/>
      <c r="H28" s="68"/>
      <c r="I28" s="67"/>
      <c r="J28" s="42"/>
      <c r="K28" s="68"/>
      <c r="L28" s="69"/>
      <c r="M28" s="70"/>
      <c r="N28" s="71"/>
      <c r="O28" s="173"/>
      <c r="P28" s="178"/>
      <c r="Q28" s="232"/>
      <c r="R28" s="157"/>
      <c r="S28" s="167"/>
      <c r="T28" s="42"/>
      <c r="U28" s="68"/>
      <c r="V28" s="167"/>
      <c r="W28" s="42"/>
      <c r="X28" s="68"/>
      <c r="Y28" s="161"/>
      <c r="Z28" s="253" t="s">
        <v>113</v>
      </c>
      <c r="AA28" s="254"/>
      <c r="AB28" s="254"/>
      <c r="AC28" s="255"/>
    </row>
    <row r="29" ht="20.1" customHeight="1" s="19" customFormat="1">
      <c r="A29" s="63">
        <v>25</v>
      </c>
      <c r="B29" s="64">
        <v>1</v>
      </c>
      <c r="C29" s="63" t="s">
        <v>110</v>
      </c>
      <c r="D29" s="65">
        <v>50</v>
      </c>
      <c r="E29" s="66">
        <v>0</v>
      </c>
      <c r="F29" s="67"/>
      <c r="G29" s="42"/>
      <c r="H29" s="68"/>
      <c r="I29" s="67"/>
      <c r="J29" s="42"/>
      <c r="K29" s="68"/>
      <c r="L29" s="69"/>
      <c r="M29" s="70"/>
      <c r="N29" s="71"/>
      <c r="O29" s="173"/>
      <c r="P29" s="178"/>
      <c r="Q29" s="233"/>
      <c r="R29" s="157"/>
      <c r="S29" s="167"/>
      <c r="T29" s="42"/>
      <c r="U29" s="68"/>
      <c r="V29" s="167"/>
      <c r="W29" s="42"/>
      <c r="X29" s="68"/>
      <c r="Y29" s="161"/>
      <c r="Z29" s="253" t="s">
        <v>114</v>
      </c>
      <c r="AA29" s="254"/>
      <c r="AB29" s="254"/>
      <c r="AC29" s="255"/>
    </row>
    <row r="30" ht="20.1" customHeight="1" s="19" customFormat="1">
      <c r="A30" s="63">
        <v>26</v>
      </c>
      <c r="B30" s="64">
        <v>1</v>
      </c>
      <c r="C30" s="63" t="s">
        <v>115</v>
      </c>
      <c r="D30" s="65">
        <v>50</v>
      </c>
      <c r="E30" s="66">
        <v>0</v>
      </c>
      <c r="F30" s="67"/>
      <c r="G30" s="42"/>
      <c r="H30" s="68"/>
      <c r="I30" s="67"/>
      <c r="J30" s="42"/>
      <c r="K30" s="68"/>
      <c r="L30" s="69"/>
      <c r="M30" s="70"/>
      <c r="N30" s="71"/>
      <c r="O30" s="173"/>
      <c r="P30" s="178"/>
      <c r="Q30" s="234"/>
      <c r="R30" s="157"/>
      <c r="S30" s="167"/>
      <c r="T30" s="42"/>
      <c r="U30" s="68"/>
      <c r="V30" s="167"/>
      <c r="W30" s="42"/>
      <c r="X30" s="68"/>
      <c r="Y30" s="161"/>
      <c r="Z30" s="253" t="s">
        <v>116</v>
      </c>
      <c r="AA30" s="254"/>
      <c r="AB30" s="254"/>
      <c r="AC30" s="255"/>
    </row>
    <row r="31" ht="20.1" customHeight="1" s="19" customFormat="1">
      <c r="A31" s="63">
        <v>27</v>
      </c>
      <c r="B31" s="64">
        <v>1</v>
      </c>
      <c r="C31" s="63" t="s">
        <v>115</v>
      </c>
      <c r="D31" s="65">
        <v>50</v>
      </c>
      <c r="E31" s="66">
        <v>0</v>
      </c>
      <c r="F31" s="67"/>
      <c r="G31" s="42"/>
      <c r="H31" s="68"/>
      <c r="I31" s="67"/>
      <c r="J31" s="42"/>
      <c r="K31" s="68"/>
      <c r="L31" s="69"/>
      <c r="M31" s="70"/>
      <c r="N31" s="71"/>
      <c r="O31" s="173"/>
      <c r="P31" s="178"/>
      <c r="Q31" s="170"/>
      <c r="R31" s="157"/>
      <c r="S31" s="167"/>
      <c r="T31" s="42"/>
      <c r="U31" s="68"/>
      <c r="V31" s="167"/>
      <c r="W31" s="42"/>
      <c r="X31" s="68"/>
      <c r="Y31" s="161"/>
      <c r="Z31" s="253" t="s">
        <v>117</v>
      </c>
      <c r="AA31" s="254"/>
      <c r="AB31" s="254"/>
      <c r="AC31" s="255"/>
    </row>
    <row r="32" ht="20.1" customHeight="1" s="19" customFormat="1">
      <c r="A32" s="63">
        <v>28</v>
      </c>
      <c r="B32" s="64">
        <v>1</v>
      </c>
      <c r="C32" s="63" t="s">
        <v>115</v>
      </c>
      <c r="D32" s="65">
        <v>50</v>
      </c>
      <c r="E32" s="66">
        <v>0</v>
      </c>
      <c r="F32" s="67"/>
      <c r="G32" s="42"/>
      <c r="H32" s="68"/>
      <c r="I32" s="67"/>
      <c r="J32" s="42"/>
      <c r="K32" s="68"/>
      <c r="L32" s="69"/>
      <c r="M32" s="70"/>
      <c r="N32" s="71"/>
      <c r="O32" s="173"/>
      <c r="P32" s="178"/>
      <c r="Q32" s="170"/>
      <c r="R32" s="157"/>
      <c r="S32" s="167"/>
      <c r="T32" s="42"/>
      <c r="U32" s="68"/>
      <c r="V32" s="167"/>
      <c r="W32" s="42"/>
      <c r="X32" s="68"/>
      <c r="Y32" s="161"/>
      <c r="Z32" s="253" t="s">
        <v>118</v>
      </c>
      <c r="AA32" s="254"/>
      <c r="AB32" s="254"/>
      <c r="AC32" s="255"/>
    </row>
    <row r="33" ht="20.1" customHeight="1" s="19" customFormat="1">
      <c r="A33" s="63">
        <v>29</v>
      </c>
      <c r="B33" s="64">
        <v>6</v>
      </c>
      <c r="C33" s="63" t="s">
        <v>115</v>
      </c>
      <c r="D33" s="65">
        <v>50</v>
      </c>
      <c r="E33" s="66">
        <v>0</v>
      </c>
      <c r="F33" s="67"/>
      <c r="G33" s="42"/>
      <c r="H33" s="68"/>
      <c r="I33" s="67"/>
      <c r="J33" s="42"/>
      <c r="K33" s="68"/>
      <c r="L33" s="69"/>
      <c r="M33" s="70"/>
      <c r="N33" s="71"/>
      <c r="O33" s="173"/>
      <c r="P33" s="178"/>
      <c r="Q33" s="170"/>
      <c r="R33" s="157"/>
      <c r="S33" s="167"/>
      <c r="T33" s="42"/>
      <c r="U33" s="68"/>
      <c r="V33" s="167"/>
      <c r="W33" s="42"/>
      <c r="X33" s="68"/>
      <c r="Y33" s="161"/>
      <c r="Z33" s="253" t="s">
        <v>119</v>
      </c>
      <c r="AA33" s="254"/>
      <c r="AB33" s="254"/>
      <c r="AC33" s="255"/>
    </row>
    <row r="34" ht="20.1" customHeight="1" s="19" customFormat="1">
      <c r="A34" s="63">
        <v>30</v>
      </c>
      <c r="B34" s="64">
        <v>39</v>
      </c>
      <c r="C34" s="63" t="s">
        <v>120</v>
      </c>
      <c r="D34" s="65">
        <v>50</v>
      </c>
      <c r="E34" s="66">
        <v>0</v>
      </c>
      <c r="F34" s="67"/>
      <c r="G34" s="42"/>
      <c r="H34" s="68"/>
      <c r="I34" s="67"/>
      <c r="J34" s="42"/>
      <c r="K34" s="68"/>
      <c r="L34" s="69"/>
      <c r="M34" s="70"/>
      <c r="N34" s="71"/>
      <c r="O34" s="173"/>
      <c r="P34" s="178"/>
      <c r="Q34" s="232"/>
      <c r="R34" s="157"/>
      <c r="S34" s="167"/>
      <c r="T34" s="42"/>
      <c r="U34" s="68"/>
      <c r="V34" s="167"/>
      <c r="W34" s="42"/>
      <c r="X34" s="68"/>
      <c r="Y34" s="161"/>
      <c r="Z34" s="253" t="s">
        <v>121</v>
      </c>
      <c r="AA34" s="254"/>
      <c r="AB34" s="254"/>
      <c r="AC34" s="255"/>
    </row>
    <row r="35" ht="20.1" customHeight="1" s="19" customFormat="1">
      <c r="A35" s="63">
        <v>31</v>
      </c>
      <c r="B35" s="64">
        <v>1</v>
      </c>
      <c r="C35" s="63" t="s">
        <v>120</v>
      </c>
      <c r="D35" s="65">
        <v>50</v>
      </c>
      <c r="E35" s="66">
        <v>0</v>
      </c>
      <c r="F35" s="67"/>
      <c r="G35" s="42"/>
      <c r="H35" s="68"/>
      <c r="I35" s="67"/>
      <c r="J35" s="42"/>
      <c r="K35" s="68"/>
      <c r="L35" s="69"/>
      <c r="M35" s="70"/>
      <c r="N35" s="71"/>
      <c r="O35" s="173"/>
      <c r="P35" s="178"/>
      <c r="Q35" s="232"/>
      <c r="R35" s="157"/>
      <c r="S35" s="167"/>
      <c r="T35" s="42"/>
      <c r="U35" s="68"/>
      <c r="V35" s="167"/>
      <c r="W35" s="42"/>
      <c r="X35" s="68"/>
      <c r="Y35" s="161"/>
      <c r="Z35" s="253" t="s">
        <v>122</v>
      </c>
      <c r="AA35" s="254"/>
      <c r="AB35" s="254"/>
      <c r="AC35" s="255"/>
    </row>
    <row r="36" ht="20.1" customHeight="1" s="19" customFormat="1">
      <c r="A36" s="63">
        <v>32</v>
      </c>
      <c r="B36" s="64">
        <v>1</v>
      </c>
      <c r="C36" s="63" t="s">
        <v>120</v>
      </c>
      <c r="D36" s="65">
        <v>50</v>
      </c>
      <c r="E36" s="66">
        <v>0</v>
      </c>
      <c r="F36" s="67"/>
      <c r="G36" s="42"/>
      <c r="H36" s="68"/>
      <c r="I36" s="67"/>
      <c r="J36" s="42"/>
      <c r="K36" s="68"/>
      <c r="L36" s="69"/>
      <c r="M36" s="70"/>
      <c r="N36" s="71"/>
      <c r="O36" s="173"/>
      <c r="P36" s="178"/>
      <c r="Q36" s="234"/>
      <c r="R36" s="157"/>
      <c r="S36" s="167"/>
      <c r="T36" s="42"/>
      <c r="U36" s="68"/>
      <c r="V36" s="167"/>
      <c r="W36" s="42"/>
      <c r="X36" s="68"/>
      <c r="Y36" s="161"/>
      <c r="Z36" s="253" t="s">
        <v>123</v>
      </c>
      <c r="AA36" s="254"/>
      <c r="AB36" s="254"/>
      <c r="AC36" s="255"/>
    </row>
    <row r="37" ht="20.1" customHeight="1" s="19" customFormat="1">
      <c r="A37" s="63">
        <v>33</v>
      </c>
      <c r="B37" s="64">
        <v>1</v>
      </c>
      <c r="C37" s="63" t="s">
        <v>120</v>
      </c>
      <c r="D37" s="65">
        <v>50</v>
      </c>
      <c r="E37" s="66">
        <v>0</v>
      </c>
      <c r="F37" s="67"/>
      <c r="G37" s="42"/>
      <c r="H37" s="68"/>
      <c r="I37" s="67"/>
      <c r="J37" s="42"/>
      <c r="K37" s="68"/>
      <c r="L37" s="69"/>
      <c r="M37" s="70"/>
      <c r="N37" s="71"/>
      <c r="O37" s="173"/>
      <c r="P37" s="178"/>
      <c r="Q37" s="233"/>
      <c r="R37" s="157"/>
      <c r="S37" s="167"/>
      <c r="T37" s="42"/>
      <c r="U37" s="68"/>
      <c r="V37" s="167"/>
      <c r="W37" s="42"/>
      <c r="X37" s="68"/>
      <c r="Y37" s="161"/>
      <c r="Z37" s="253" t="s">
        <v>124</v>
      </c>
      <c r="AA37" s="254"/>
      <c r="AB37" s="254"/>
      <c r="AC37" s="255"/>
    </row>
    <row r="38" ht="20.1" customHeight="1" s="19" customFormat="1">
      <c r="A38" s="63">
        <v>34</v>
      </c>
      <c r="B38" s="64">
        <v>1</v>
      </c>
      <c r="C38" s="63" t="s">
        <v>125</v>
      </c>
      <c r="D38" s="65">
        <v>50</v>
      </c>
      <c r="E38" s="66">
        <v>0</v>
      </c>
      <c r="F38" s="67"/>
      <c r="G38" s="42"/>
      <c r="H38" s="68"/>
      <c r="I38" s="67"/>
      <c r="J38" s="42"/>
      <c r="K38" s="68"/>
      <c r="L38" s="69"/>
      <c r="M38" s="70"/>
      <c r="N38" s="71"/>
      <c r="O38" s="173"/>
      <c r="P38" s="178"/>
      <c r="Q38" s="234"/>
      <c r="R38" s="157"/>
      <c r="S38" s="167"/>
      <c r="T38" s="42"/>
      <c r="U38" s="68"/>
      <c r="V38" s="167"/>
      <c r="W38" s="42"/>
      <c r="X38" s="68"/>
      <c r="Y38" s="161"/>
      <c r="Z38" s="253" t="s">
        <v>126</v>
      </c>
      <c r="AA38" s="254"/>
      <c r="AB38" s="254"/>
      <c r="AC38" s="255"/>
    </row>
    <row r="39" ht="20.1" customHeight="1" s="19" customFormat="1">
      <c r="A39" s="63">
        <v>35</v>
      </c>
      <c r="B39" s="64">
        <v>2</v>
      </c>
      <c r="C39" s="63" t="s">
        <v>127</v>
      </c>
      <c r="D39" s="65">
        <v>50</v>
      </c>
      <c r="E39" s="66">
        <v>0</v>
      </c>
      <c r="F39" s="67"/>
      <c r="G39" s="42"/>
      <c r="H39" s="68"/>
      <c r="I39" s="67"/>
      <c r="J39" s="42"/>
      <c r="K39" s="68"/>
      <c r="L39" s="69"/>
      <c r="M39" s="70"/>
      <c r="N39" s="71"/>
      <c r="O39" s="173"/>
      <c r="P39" s="178"/>
      <c r="Q39" s="170"/>
      <c r="R39" s="157"/>
      <c r="S39" s="167"/>
      <c r="T39" s="42"/>
      <c r="U39" s="68"/>
      <c r="V39" s="167"/>
      <c r="W39" s="42"/>
      <c r="X39" s="68"/>
      <c r="Y39" s="161"/>
      <c r="Z39" s="253" t="s">
        <v>128</v>
      </c>
      <c r="AA39" s="254"/>
      <c r="AB39" s="254"/>
      <c r="AC39" s="255"/>
    </row>
    <row r="40" ht="20.1" customHeight="1" s="19" customFormat="1">
      <c r="A40" s="63">
        <v>36</v>
      </c>
      <c r="B40" s="64">
        <v>1</v>
      </c>
      <c r="C40" s="63" t="s">
        <v>125</v>
      </c>
      <c r="D40" s="65">
        <v>50</v>
      </c>
      <c r="E40" s="66">
        <v>0</v>
      </c>
      <c r="F40" s="67"/>
      <c r="G40" s="42"/>
      <c r="H40" s="68"/>
      <c r="I40" s="67"/>
      <c r="J40" s="42"/>
      <c r="K40" s="68"/>
      <c r="L40" s="69"/>
      <c r="M40" s="70"/>
      <c r="N40" s="71"/>
      <c r="O40" s="173"/>
      <c r="P40" s="178"/>
      <c r="Q40" s="170"/>
      <c r="R40" s="157"/>
      <c r="S40" s="167"/>
      <c r="T40" s="42"/>
      <c r="U40" s="68"/>
      <c r="V40" s="167"/>
      <c r="W40" s="42"/>
      <c r="X40" s="68"/>
      <c r="Y40" s="161"/>
      <c r="Z40" s="253" t="s">
        <v>129</v>
      </c>
      <c r="AA40" s="254"/>
      <c r="AB40" s="254"/>
      <c r="AC40" s="255"/>
    </row>
    <row r="41" ht="20.1" customHeight="1" s="19" customFormat="1">
      <c r="A41" s="73">
        <v>37</v>
      </c>
      <c r="B41" s="72">
        <v>1</v>
      </c>
      <c r="C41" s="73" t="s">
        <v>85</v>
      </c>
      <c r="D41" s="90">
        <v>49</v>
      </c>
      <c r="E41" s="91">
        <v>6</v>
      </c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170"/>
      <c r="R41" s="157"/>
      <c r="S41" s="167"/>
      <c r="T41" s="42"/>
      <c r="U41" s="68"/>
      <c r="V41" s="167"/>
      <c r="W41" s="42"/>
      <c r="X41" s="68"/>
      <c r="Y41" s="161"/>
      <c r="Z41" s="253" t="s">
        <v>130</v>
      </c>
      <c r="AA41" s="254"/>
      <c r="AB41" s="254"/>
      <c r="AC41" s="255"/>
    </row>
    <row r="42" ht="20.1" customHeight="1" s="19" customFormat="1">
      <c r="A42" s="74" t="s">
        <v>14</v>
      </c>
      <c r="B42" s="288">
        <f>SUM(B5:B41)</f>
        <v>0</v>
      </c>
      <c r="C42" s="289"/>
      <c r="D42" s="285"/>
      <c r="E42" s="286"/>
      <c r="F42" s="286"/>
      <c r="G42" s="286"/>
      <c r="H42" s="286"/>
      <c r="I42" s="286"/>
      <c r="J42" s="286"/>
      <c r="K42" s="286"/>
      <c r="L42" s="286"/>
      <c r="M42" s="286"/>
      <c r="N42" s="286"/>
      <c r="O42" s="286"/>
      <c r="P42" s="286"/>
      <c r="Q42" s="286"/>
      <c r="R42" s="286"/>
      <c r="S42" s="286"/>
      <c r="T42" s="286"/>
      <c r="U42" s="286"/>
      <c r="V42" s="286"/>
      <c r="W42" s="286"/>
      <c r="X42" s="286"/>
      <c r="Y42" s="286"/>
      <c r="Z42" s="286"/>
      <c r="AA42" s="286"/>
      <c r="AB42" s="286"/>
      <c r="AC42" s="287"/>
    </row>
    <row r="43" ht="20.1" customHeight="1" s="19" customFormat="1">
      <c r="A43" s="164" t="s">
        <v>47</v>
      </c>
      <c r="B43" s="276"/>
      <c r="C43" s="276"/>
      <c r="D43" s="276"/>
      <c r="E43" s="276"/>
      <c r="F43" s="276"/>
      <c r="G43" s="276"/>
      <c r="H43" s="276"/>
      <c r="I43" s="276"/>
      <c r="J43" s="276"/>
      <c r="K43" s="276"/>
      <c r="L43" s="276"/>
      <c r="M43" s="276"/>
      <c r="N43" s="276"/>
      <c r="O43" s="276"/>
      <c r="P43" s="276"/>
      <c r="Q43" s="276"/>
      <c r="R43" s="276"/>
      <c r="S43" s="276"/>
      <c r="T43" s="276"/>
      <c r="U43" s="276"/>
      <c r="V43" s="276"/>
      <c r="W43" s="276"/>
      <c r="X43" s="276"/>
      <c r="Y43" s="276"/>
      <c r="Z43" s="276"/>
      <c r="AA43" s="276"/>
      <c r="AB43" s="276"/>
      <c r="AC43" s="277"/>
    </row>
    <row r="44" ht="20.1" customHeight="1" s="19" customFormat="1">
      <c r="A44" s="253"/>
      <c r="B44" s="254"/>
      <c r="C44" s="254"/>
      <c r="D44" s="254"/>
      <c r="E44" s="254"/>
      <c r="F44" s="254"/>
      <c r="G44" s="254"/>
      <c r="H44" s="254"/>
      <c r="I44" s="254"/>
      <c r="J44" s="254"/>
      <c r="K44" s="254"/>
      <c r="L44" s="254"/>
      <c r="M44" s="254"/>
      <c r="N44" s="254"/>
      <c r="O44" s="254"/>
      <c r="P44" s="254"/>
      <c r="Q44" s="254"/>
      <c r="R44" s="254"/>
      <c r="S44" s="254"/>
      <c r="T44" s="254"/>
      <c r="U44" s="254"/>
      <c r="V44" s="254"/>
      <c r="W44" s="254"/>
      <c r="X44" s="254"/>
      <c r="Y44" s="254"/>
      <c r="Z44" s="254"/>
      <c r="AA44" s="254"/>
      <c r="AB44" s="254"/>
      <c r="AC44" s="255"/>
    </row>
    <row r="45" ht="20.1" customHeight="1" s="19" customFormat="1">
      <c r="A45" s="282"/>
      <c r="B45" s="283"/>
      <c r="C45" s="283"/>
      <c r="D45" s="283"/>
      <c r="E45" s="283"/>
      <c r="F45" s="283"/>
      <c r="G45" s="283"/>
      <c r="H45" s="283"/>
      <c r="I45" s="283"/>
      <c r="J45" s="283"/>
      <c r="K45" s="283"/>
      <c r="L45" s="283"/>
      <c r="M45" s="283"/>
      <c r="N45" s="283"/>
      <c r="O45" s="283"/>
      <c r="P45" s="283"/>
      <c r="Q45" s="283"/>
      <c r="R45" s="283"/>
      <c r="S45" s="283"/>
      <c r="T45" s="283"/>
      <c r="U45" s="283"/>
      <c r="V45" s="283"/>
      <c r="W45" s="283"/>
      <c r="X45" s="283"/>
      <c r="Y45" s="283"/>
      <c r="Z45" s="283"/>
      <c r="AA45" s="283"/>
      <c r="AB45" s="283"/>
      <c r="AC45" s="284"/>
    </row>
    <row r="46" ht="17.45" customHeight="1" s="19" customFormat="1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ht="17.45" customHeight="1" s="19" customForma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Z47" s="18"/>
      <c r="AA47" s="18"/>
      <c r="AB47" s="18"/>
    </row>
    <row r="48" ht="17.45" customHeight="1" s="19" customFormat="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Z48" s="18"/>
      <c r="AA48" s="18"/>
      <c r="AB48" s="18"/>
    </row>
    <row r="49" ht="17.45" customHeight="1" s="19" customFormat="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Z49" s="18"/>
      <c r="AA49" s="18"/>
      <c r="AB49" s="18"/>
    </row>
    <row r="50" ht="17.45" customHeight="1" s="19" customFormat="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Z50" s="18"/>
      <c r="AA50" s="18"/>
      <c r="AB50" s="18"/>
    </row>
    <row r="51" ht="17.45" customHeight="1" s="19" customFormat="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Z51" s="18"/>
      <c r="AA51" s="18"/>
      <c r="AB51" s="18"/>
    </row>
    <row r="52" ht="15" customHeight="1" s="19" customFormat="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Z52" s="18"/>
      <c r="AA52" s="18"/>
      <c r="AB52" s="18"/>
    </row>
    <row r="53" ht="15" customHeight="1" s="19" customFormat="1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Z53" s="18"/>
      <c r="AA53" s="18"/>
      <c r="AB53" s="18"/>
    </row>
    <row r="54" ht="15" customHeight="1" s="19" customFormat="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Z54" s="18"/>
      <c r="AA54" s="18"/>
      <c r="AB54" s="18"/>
    </row>
    <row r="55" ht="15" customHeight="1" s="19" customForma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Z55" s="18"/>
      <c r="AA55" s="18"/>
      <c r="AB55" s="18"/>
    </row>
  </sheetData>
  <dataConsolidate/>
  <mergeCells>
    <mergeCell ref="A3:A4"/>
    <mergeCell ref="B3:B4"/>
    <mergeCell ref="C3:C4"/>
    <mergeCell ref="D3:E4"/>
    <mergeCell ref="F3:H3"/>
    <mergeCell ref="G4:H4"/>
    <mergeCell ref="A1:B1"/>
    <mergeCell ref="C1:Y1"/>
    <mergeCell ref="AA1:AC1"/>
    <mergeCell ref="A2:B2"/>
    <mergeCell ref="C2:Y2"/>
    <mergeCell ref="Z5:AC5"/>
    <mergeCell ref="I3:K3"/>
    <mergeCell ref="L3:M3"/>
    <mergeCell ref="P3:R3"/>
    <mergeCell ref="S3:U3"/>
    <mergeCell ref="V3:X3"/>
    <mergeCell ref="Y3:Y4"/>
    <mergeCell ref="Z3:AC4"/>
    <mergeCell ref="J4:K4"/>
    <mergeCell ref="T4:U4"/>
    <mergeCell ref="W4:X4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B42:C42"/>
    <mergeCell ref="D42:AC42"/>
    <mergeCell ref="B43:AC43"/>
    <mergeCell ref="A44:AC44"/>
    <mergeCell ref="A45:AC45"/>
  </mergeCells>
  <dataValidations count="11">
    <dataValidation type="list" allowBlank="1" showInputMessage="1" showErrorMessage="1" errorTitle="Bad Input" error="Input for this cell must be one of the listed positions and all uppercase!" sqref="R36 R20 R14 R13 R16 R22:R23 R10 R7 R30:R31 R28 R9 R40:R41 R27 R11 R5 R18 R32 R19 R26 R15 R35 R6 R38 R8 R12 R17 R21 R25 R29 R33">
      <formula1>"TC,BC,BE,LE,RE"</formula1>
    </dataValidation>
    <dataValidation type="list" allowBlank="1" showInputMessage="1" showErrorMessage="1" errorTitle="Bad Input" error="Input for this cell must be one of the listed categories and all uppercase!" sqref="Q36 Q20 Q14 Q13 Q16 Q22:Q23 Q10 Q7 Q30:Q31 Q28 Q9 Q40:Q41 Q27 Q11 Q5 Q18 Q32 Q19 Q26 Q15 Q35 Q6 Q38 Q8 Q12 Q17 Q21 Q25 Q29 Q33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39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9">
      <formula1>"TC,BC,BE,LE,RE"</formula1>
    </dataValidation>
    <dataValidation type="list" allowBlank="1" showInputMessage="1" showErrorMessage="1" errorTitle="Bad Input" error="Input for this cell must be one of the listed categories and all uppercase!" sqref="Q3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4">
      <formula1>"TC,BC,BE,LE,RE"</formula1>
    </dataValidation>
    <dataValidation type="list" allowBlank="1" showInputMessage="1" showErrorMessage="1" errorTitle="Bad Input" error="Input for this cell must be one of the listed categories and all uppercase!" sqref="Q2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24">
      <formula1>"TC,BC,BE,LE,RE"</formula1>
    </dataValidation>
    <dataValidation type="list" allowBlank="1" showInputMessage="1" showErrorMessage="1" errorTitle="Bad Input" error="Input for this cell must be one of the listed categories and all uppercase!" sqref="Q37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7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C55"/>
  <sheetViews>
    <sheetView zoomScaleNormal="100" workbookViewId="0">
      <selection activeCell="V13" sqref="V13"/>
    </sheetView>
  </sheetViews>
  <sheetFormatPr defaultRowHeight="12.75" x14ac:dyDescent="0.2"/>
  <cols>
    <col min="1" max="1" width="9.7109375" customWidth="1" style="9"/>
    <col min="2" max="2" width="8.7109375" customWidth="1" style="9"/>
    <col min="3" max="3" width="22.7109375" customWidth="1" style="9"/>
    <col min="4" max="4" width="6.7109375" customWidth="1" style="9"/>
    <col min="5" max="5" width="7.7109375" customWidth="1" style="9"/>
    <col min="6" max="6" width="6.28515625" customWidth="1" style="9"/>
    <col min="7" max="7" width="5.7109375" customWidth="1" style="9"/>
    <col min="8" max="8" width="7.7109375" customWidth="1" style="9"/>
    <col min="9" max="9" width="6.28515625" customWidth="1" style="9"/>
    <col min="10" max="10" width="5.7109375" customWidth="1" style="9"/>
    <col min="11" max="15" width="7.7109375" customWidth="1" style="9"/>
    <col min="16" max="18" width="6.7109375" customWidth="1" style="9"/>
    <col min="19" max="19" width="10.7109375" customWidth="1" style="9"/>
    <col min="20" max="20" width="6.7109375" customWidth="1" style="9"/>
    <col min="21" max="21" width="7.7109375" customWidth="1" style="9"/>
    <col min="22" max="22" width="10.7109375" customWidth="1" style="9"/>
    <col min="23" max="23" width="6.7109375" customWidth="1" style="9"/>
    <col min="24" max="24" width="7.7109375" customWidth="1" style="9"/>
    <col min="25" max="25" bestFit="1" width="7.5703125" customWidth="1" style="9"/>
    <col min="26" max="27" width="7.7109375" customWidth="1" style="9"/>
    <col min="28" max="28" width="6.7109375" customWidth="1" style="9"/>
    <col min="29" max="29" width="7.7109375" customWidth="1" style="9"/>
    <col min="30" max="16384" width="9.140625" customWidth="1" style="9"/>
  </cols>
  <sheetData>
    <row r="1" ht="20.1" customHeight="1" s="10" customFormat="1">
      <c r="A1" s="244" t="s">
        <v>0</v>
      </c>
      <c r="B1" s="245"/>
      <c r="C1" s="274" t="str">
        <f>IF(ISBLANK(INDIRECT("Cover!D3")),"",INDIRECT("Cover!D3"))</f>
        <v>*</v>
      </c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4"/>
      <c r="U1" s="274"/>
      <c r="V1" s="274"/>
      <c r="W1" s="274"/>
      <c r="X1" s="274"/>
      <c r="Y1" s="274"/>
      <c r="Z1" s="23" t="s">
        <v>22</v>
      </c>
      <c r="AA1" s="256" t="str">
        <f>IF(ISBLANK(INDIRECT("Cover!O2")),"",INDIRECT("Cover!O2"))</f>
        <v>*</v>
      </c>
      <c r="AB1" s="256"/>
      <c r="AC1" s="257"/>
    </row>
    <row r="2" ht="20.1" customHeight="1" s="10" customFormat="1">
      <c r="A2" s="246" t="s">
        <v>2</v>
      </c>
      <c r="B2" s="247"/>
      <c r="C2" s="281" t="str">
        <f>IF(ISBLANK(INDIRECT("Cover!D4")),"",INDIRECT("Cover!D4"))</f>
        <v>*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2"/>
      <c r="AA2" s="59"/>
      <c r="AB2" s="33"/>
      <c r="AC2" s="165"/>
    </row>
    <row r="3" ht="20.1" customHeight="1" s="10" customFormat="1">
      <c r="A3" s="279" t="s">
        <v>23</v>
      </c>
      <c r="B3" s="279" t="s">
        <v>24</v>
      </c>
      <c r="C3" s="279" t="s">
        <v>25</v>
      </c>
      <c r="D3" s="266" t="s">
        <v>26</v>
      </c>
      <c r="E3" s="267"/>
      <c r="F3" s="264" t="s">
        <v>27</v>
      </c>
      <c r="G3" s="265"/>
      <c r="H3" s="265"/>
      <c r="I3" s="264" t="s">
        <v>28</v>
      </c>
      <c r="J3" s="265"/>
      <c r="K3" s="265"/>
      <c r="L3" s="264" t="s">
        <v>29</v>
      </c>
      <c r="M3" s="275"/>
      <c r="N3" s="24" t="s">
        <v>30</v>
      </c>
      <c r="O3" s="24" t="s">
        <v>31</v>
      </c>
      <c r="P3" s="278" t="s">
        <v>32</v>
      </c>
      <c r="Q3" s="265"/>
      <c r="R3" s="275"/>
      <c r="S3" s="264" t="s">
        <v>33</v>
      </c>
      <c r="T3" s="265"/>
      <c r="U3" s="265"/>
      <c r="V3" s="264" t="s">
        <v>34</v>
      </c>
      <c r="W3" s="265"/>
      <c r="X3" s="275"/>
      <c r="Y3" s="272" t="s">
        <v>35</v>
      </c>
      <c r="Z3" s="258" t="s">
        <v>36</v>
      </c>
      <c r="AA3" s="259"/>
      <c r="AB3" s="259"/>
      <c r="AC3" s="260"/>
    </row>
    <row r="4" ht="20.1" customHeight="1" s="10" customFormat="1">
      <c r="A4" s="280"/>
      <c r="B4" s="280"/>
      <c r="C4" s="280"/>
      <c r="D4" s="268"/>
      <c r="E4" s="269"/>
      <c r="F4" s="61" t="s">
        <v>37</v>
      </c>
      <c r="G4" s="270" t="s">
        <v>9</v>
      </c>
      <c r="H4" s="271"/>
      <c r="I4" s="61" t="s">
        <v>37</v>
      </c>
      <c r="J4" s="270" t="s">
        <v>9</v>
      </c>
      <c r="K4" s="271"/>
      <c r="L4" s="61" t="s">
        <v>38</v>
      </c>
      <c r="M4" s="62" t="s">
        <v>39</v>
      </c>
      <c r="N4" s="60" t="s">
        <v>40</v>
      </c>
      <c r="O4" s="169" t="s">
        <v>41</v>
      </c>
      <c r="P4" s="158" t="s">
        <v>7</v>
      </c>
      <c r="Q4" s="175" t="s">
        <v>42</v>
      </c>
      <c r="R4" s="155" t="s">
        <v>43</v>
      </c>
      <c r="S4" s="61" t="s">
        <v>44</v>
      </c>
      <c r="T4" s="270" t="s">
        <v>45</v>
      </c>
      <c r="U4" s="271"/>
      <c r="V4" s="61" t="s">
        <v>44</v>
      </c>
      <c r="W4" s="270" t="s">
        <v>45</v>
      </c>
      <c r="X4" s="271"/>
      <c r="Y4" s="273"/>
      <c r="Z4" s="261"/>
      <c r="AA4" s="262"/>
      <c r="AB4" s="262"/>
      <c r="AC4" s="263"/>
    </row>
    <row r="5" ht="20.1" customHeight="1" s="10" customFormat="1">
      <c r="A5" s="80">
        <v>38</v>
      </c>
      <c r="B5" s="81">
        <v>1</v>
      </c>
      <c r="C5" s="80" t="s">
        <v>85</v>
      </c>
      <c r="D5" s="82">
        <v>49</v>
      </c>
      <c r="E5" s="83">
        <v>6</v>
      </c>
      <c r="F5" s="168"/>
      <c r="G5" s="85"/>
      <c r="H5" s="86"/>
      <c r="I5" s="84"/>
      <c r="J5" s="85"/>
      <c r="K5" s="86"/>
      <c r="L5" s="87"/>
      <c r="M5" s="88"/>
      <c r="N5" s="89"/>
      <c r="O5" s="230"/>
      <c r="P5" s="177"/>
      <c r="Q5" s="176" t="s">
        <v>46</v>
      </c>
      <c r="R5" s="156"/>
      <c r="S5" s="166"/>
      <c r="T5" s="159"/>
      <c r="U5" s="160"/>
      <c r="V5" s="166"/>
      <c r="W5" s="159"/>
      <c r="X5" s="160"/>
      <c r="Y5" s="162"/>
      <c r="Z5" s="290" t="s">
        <v>251</v>
      </c>
      <c r="AA5" s="291"/>
      <c r="AB5" s="291"/>
      <c r="AC5" s="292"/>
    </row>
    <row r="6" ht="20.1" customHeight="1" s="10" customFormat="1">
      <c r="A6" s="63">
        <v>39</v>
      </c>
      <c r="B6" s="64">
        <v>1</v>
      </c>
      <c r="C6" s="63" t="s">
        <v>85</v>
      </c>
      <c r="D6" s="65">
        <v>49</v>
      </c>
      <c r="E6" s="66">
        <v>6</v>
      </c>
      <c r="F6" s="67"/>
      <c r="G6" s="42"/>
      <c r="H6" s="68"/>
      <c r="I6" s="67"/>
      <c r="J6" s="42"/>
      <c r="K6" s="68"/>
      <c r="L6" s="69"/>
      <c r="M6" s="70"/>
      <c r="N6" s="71"/>
      <c r="O6" s="173"/>
      <c r="P6" s="178"/>
      <c r="Q6" s="170"/>
      <c r="R6" s="157"/>
      <c r="S6" s="167"/>
      <c r="T6" s="42"/>
      <c r="U6" s="68"/>
      <c r="V6" s="167"/>
      <c r="W6" s="42"/>
      <c r="X6" s="68"/>
      <c r="Y6" s="161"/>
      <c r="Z6" s="253" t="s">
        <v>252</v>
      </c>
      <c r="AA6" s="254"/>
      <c r="AB6" s="254"/>
      <c r="AC6" s="255"/>
    </row>
    <row r="7" ht="20.1" customHeight="1" s="19" customFormat="1">
      <c r="A7" s="63">
        <v>40</v>
      </c>
      <c r="B7" s="64">
        <v>6</v>
      </c>
      <c r="C7" s="63" t="s">
        <v>85</v>
      </c>
      <c r="D7" s="65">
        <v>49</v>
      </c>
      <c r="E7" s="66">
        <v>6</v>
      </c>
      <c r="F7" s="67"/>
      <c r="G7" s="42"/>
      <c r="H7" s="68"/>
      <c r="I7" s="67"/>
      <c r="J7" s="42"/>
      <c r="K7" s="68"/>
      <c r="L7" s="69"/>
      <c r="M7" s="70"/>
      <c r="N7" s="71"/>
      <c r="O7" s="173"/>
      <c r="P7" s="178"/>
      <c r="Q7" s="170"/>
      <c r="R7" s="157"/>
      <c r="S7" s="167"/>
      <c r="T7" s="42"/>
      <c r="U7" s="68"/>
      <c r="V7" s="167"/>
      <c r="W7" s="42"/>
      <c r="X7" s="68"/>
      <c r="Y7" s="161"/>
      <c r="Z7" s="253" t="s">
        <v>253</v>
      </c>
      <c r="AA7" s="254"/>
      <c r="AB7" s="254"/>
      <c r="AC7" s="255"/>
    </row>
    <row r="8" ht="20.1" customHeight="1" s="19" customFormat="1">
      <c r="A8" s="63">
        <v>41</v>
      </c>
      <c r="B8" s="64">
        <v>34</v>
      </c>
      <c r="C8" s="63" t="s">
        <v>91</v>
      </c>
      <c r="D8" s="65">
        <v>49</v>
      </c>
      <c r="E8" s="66">
        <v>6</v>
      </c>
      <c r="F8" s="67"/>
      <c r="G8" s="42"/>
      <c r="H8" s="68"/>
      <c r="I8" s="67"/>
      <c r="J8" s="42"/>
      <c r="K8" s="68"/>
      <c r="L8" s="69"/>
      <c r="M8" s="70"/>
      <c r="N8" s="71"/>
      <c r="O8" s="173"/>
      <c r="P8" s="178"/>
      <c r="Q8" s="170"/>
      <c r="R8" s="157"/>
      <c r="S8" s="167"/>
      <c r="T8" s="42"/>
      <c r="U8" s="68"/>
      <c r="V8" s="167"/>
      <c r="W8" s="42"/>
      <c r="X8" s="68"/>
      <c r="Y8" s="161"/>
      <c r="Z8" s="253" t="s">
        <v>254</v>
      </c>
      <c r="AA8" s="254"/>
      <c r="AB8" s="254"/>
      <c r="AC8" s="255"/>
    </row>
    <row r="9" ht="20.1" customHeight="1" s="19" customFormat="1">
      <c r="A9" s="63">
        <v>42</v>
      </c>
      <c r="B9" s="64">
        <v>1</v>
      </c>
      <c r="C9" s="63" t="s">
        <v>91</v>
      </c>
      <c r="D9" s="65">
        <v>49</v>
      </c>
      <c r="E9" s="66">
        <v>6</v>
      </c>
      <c r="F9" s="67"/>
      <c r="G9" s="42"/>
      <c r="H9" s="68"/>
      <c r="I9" s="67"/>
      <c r="J9" s="42"/>
      <c r="K9" s="68"/>
      <c r="L9" s="69"/>
      <c r="M9" s="70"/>
      <c r="N9" s="71"/>
      <c r="O9" s="173"/>
      <c r="P9" s="178"/>
      <c r="Q9" s="232"/>
      <c r="R9" s="157"/>
      <c r="S9" s="167"/>
      <c r="T9" s="42"/>
      <c r="U9" s="68"/>
      <c r="V9" s="167"/>
      <c r="W9" s="42"/>
      <c r="X9" s="68"/>
      <c r="Y9" s="161"/>
      <c r="Z9" s="253" t="s">
        <v>255</v>
      </c>
      <c r="AA9" s="254"/>
      <c r="AB9" s="254"/>
      <c r="AC9" s="255"/>
    </row>
    <row r="10" ht="19.5" customHeight="1" s="19" customFormat="1">
      <c r="A10" s="63">
        <v>43</v>
      </c>
      <c r="B10" s="64">
        <v>1</v>
      </c>
      <c r="C10" s="63" t="s">
        <v>91</v>
      </c>
      <c r="D10" s="65">
        <v>49</v>
      </c>
      <c r="E10" s="66">
        <v>6</v>
      </c>
      <c r="F10" s="67"/>
      <c r="G10" s="42"/>
      <c r="H10" s="68"/>
      <c r="I10" s="67"/>
      <c r="J10" s="42"/>
      <c r="K10" s="68"/>
      <c r="L10" s="69"/>
      <c r="M10" s="70"/>
      <c r="N10" s="71"/>
      <c r="O10" s="173"/>
      <c r="P10" s="178"/>
      <c r="Q10" s="231"/>
      <c r="R10" s="157"/>
      <c r="S10" s="167"/>
      <c r="T10" s="42"/>
      <c r="U10" s="68"/>
      <c r="V10" s="167"/>
      <c r="W10" s="42"/>
      <c r="X10" s="68"/>
      <c r="Y10" s="161"/>
      <c r="Z10" s="253" t="s">
        <v>256</v>
      </c>
      <c r="AA10" s="254"/>
      <c r="AB10" s="254"/>
      <c r="AC10" s="255"/>
    </row>
    <row r="11" ht="20.1" customHeight="1" s="19" customFormat="1">
      <c r="A11" s="63">
        <v>44</v>
      </c>
      <c r="B11" s="64">
        <v>1</v>
      </c>
      <c r="C11" s="63" t="s">
        <v>91</v>
      </c>
      <c r="D11" s="65">
        <v>49</v>
      </c>
      <c r="E11" s="66">
        <v>6</v>
      </c>
      <c r="F11" s="67"/>
      <c r="G11" s="42"/>
      <c r="H11" s="68"/>
      <c r="I11" s="67"/>
      <c r="J11" s="42"/>
      <c r="K11" s="68"/>
      <c r="L11" s="69"/>
      <c r="M11" s="70"/>
      <c r="N11" s="71"/>
      <c r="O11" s="173"/>
      <c r="P11" s="178"/>
      <c r="Q11" s="170"/>
      <c r="R11" s="157"/>
      <c r="S11" s="167"/>
      <c r="T11" s="42"/>
      <c r="U11" s="68"/>
      <c r="V11" s="167"/>
      <c r="W11" s="42"/>
      <c r="X11" s="68"/>
      <c r="Y11" s="161"/>
      <c r="Z11" s="253" t="s">
        <v>257</v>
      </c>
      <c r="AA11" s="254"/>
      <c r="AB11" s="254"/>
      <c r="AC11" s="255"/>
    </row>
    <row r="12" ht="20.1" customHeight="1" s="19" customFormat="1">
      <c r="A12" s="63">
        <v>45</v>
      </c>
      <c r="B12" s="64">
        <v>5</v>
      </c>
      <c r="C12" s="63" t="s">
        <v>91</v>
      </c>
      <c r="D12" s="65">
        <v>49</v>
      </c>
      <c r="E12" s="66">
        <v>6</v>
      </c>
      <c r="F12" s="67"/>
      <c r="G12" s="42"/>
      <c r="H12" s="68"/>
      <c r="I12" s="67"/>
      <c r="J12" s="42"/>
      <c r="K12" s="68"/>
      <c r="L12" s="69"/>
      <c r="M12" s="70"/>
      <c r="N12" s="71"/>
      <c r="O12" s="173"/>
      <c r="P12" s="178"/>
      <c r="Q12" s="233"/>
      <c r="R12" s="157"/>
      <c r="S12" s="167"/>
      <c r="T12" s="42"/>
      <c r="U12" s="68"/>
      <c r="V12" s="167"/>
      <c r="W12" s="42"/>
      <c r="X12" s="68"/>
      <c r="Y12" s="161"/>
      <c r="Z12" s="253" t="s">
        <v>258</v>
      </c>
      <c r="AA12" s="254"/>
      <c r="AB12" s="254"/>
      <c r="AC12" s="255"/>
    </row>
    <row r="13" ht="20.1" customHeight="1" s="19" customFormat="1">
      <c r="A13" s="63">
        <v>46</v>
      </c>
      <c r="B13" s="64">
        <v>1</v>
      </c>
      <c r="C13" s="63" t="s">
        <v>110</v>
      </c>
      <c r="D13" s="65">
        <v>49</v>
      </c>
      <c r="E13" s="66">
        <v>6</v>
      </c>
      <c r="F13" s="67"/>
      <c r="G13" s="42"/>
      <c r="H13" s="68"/>
      <c r="I13" s="67"/>
      <c r="J13" s="42"/>
      <c r="K13" s="68"/>
      <c r="L13" s="69"/>
      <c r="M13" s="70"/>
      <c r="N13" s="71"/>
      <c r="O13" s="173"/>
      <c r="P13" s="178"/>
      <c r="Q13" s="170"/>
      <c r="R13" s="157"/>
      <c r="S13" s="167"/>
      <c r="T13" s="42"/>
      <c r="U13" s="68"/>
      <c r="V13" s="167"/>
      <c r="W13" s="42"/>
      <c r="X13" s="68"/>
      <c r="Y13" s="161"/>
      <c r="Z13" s="253" t="s">
        <v>259</v>
      </c>
      <c r="AA13" s="254"/>
      <c r="AB13" s="254"/>
      <c r="AC13" s="255"/>
    </row>
    <row r="14" ht="20.1" customHeight="1" s="19" customFormat="1">
      <c r="A14" s="63">
        <v>47</v>
      </c>
      <c r="B14" s="64">
        <v>2</v>
      </c>
      <c r="C14" s="63" t="s">
        <v>112</v>
      </c>
      <c r="D14" s="65">
        <v>49</v>
      </c>
      <c r="E14" s="66">
        <v>6</v>
      </c>
      <c r="F14" s="67"/>
      <c r="G14" s="42"/>
      <c r="H14" s="68"/>
      <c r="I14" s="67"/>
      <c r="J14" s="42"/>
      <c r="K14" s="68"/>
      <c r="L14" s="69"/>
      <c r="M14" s="70"/>
      <c r="N14" s="71"/>
      <c r="O14" s="173"/>
      <c r="P14" s="178"/>
      <c r="Q14" s="234"/>
      <c r="R14" s="157"/>
      <c r="S14" s="167"/>
      <c r="T14" s="42"/>
      <c r="U14" s="68"/>
      <c r="V14" s="167"/>
      <c r="W14" s="42"/>
      <c r="X14" s="68"/>
      <c r="Y14" s="161"/>
      <c r="Z14" s="253" t="s">
        <v>260</v>
      </c>
      <c r="AA14" s="254"/>
      <c r="AB14" s="254"/>
      <c r="AC14" s="255"/>
    </row>
    <row r="15" ht="20.1" customHeight="1" s="19" customFormat="1">
      <c r="A15" s="63">
        <v>48</v>
      </c>
      <c r="B15" s="64">
        <v>1</v>
      </c>
      <c r="C15" s="63" t="s">
        <v>110</v>
      </c>
      <c r="D15" s="65">
        <v>49</v>
      </c>
      <c r="E15" s="66">
        <v>6</v>
      </c>
      <c r="F15" s="67"/>
      <c r="G15" s="42"/>
      <c r="H15" s="68"/>
      <c r="I15" s="67"/>
      <c r="J15" s="42"/>
      <c r="K15" s="68"/>
      <c r="L15" s="69"/>
      <c r="M15" s="70"/>
      <c r="N15" s="71"/>
      <c r="O15" s="173"/>
      <c r="P15" s="178"/>
      <c r="Q15" s="232"/>
      <c r="R15" s="157"/>
      <c r="S15" s="167"/>
      <c r="T15" s="42"/>
      <c r="U15" s="68"/>
      <c r="V15" s="167"/>
      <c r="W15" s="42"/>
      <c r="X15" s="68"/>
      <c r="Y15" s="161"/>
      <c r="Z15" s="253" t="s">
        <v>261</v>
      </c>
      <c r="AA15" s="254"/>
      <c r="AB15" s="254"/>
      <c r="AC15" s="255"/>
    </row>
    <row r="16" ht="20.1" customHeight="1" s="19" customFormat="1">
      <c r="A16" s="63">
        <v>49</v>
      </c>
      <c r="B16" s="64">
        <v>1</v>
      </c>
      <c r="C16" s="63" t="s">
        <v>262</v>
      </c>
      <c r="D16" s="65">
        <v>51</v>
      </c>
      <c r="E16" s="66">
        <v>6</v>
      </c>
      <c r="F16" s="67"/>
      <c r="G16" s="42"/>
      <c r="H16" s="68"/>
      <c r="I16" s="67"/>
      <c r="J16" s="42"/>
      <c r="K16" s="68"/>
      <c r="L16" s="69"/>
      <c r="M16" s="70"/>
      <c r="N16" s="71"/>
      <c r="O16" s="173"/>
      <c r="P16" s="178"/>
      <c r="Q16" s="232"/>
      <c r="R16" s="157"/>
      <c r="S16" s="167"/>
      <c r="T16" s="42"/>
      <c r="U16" s="68"/>
      <c r="V16" s="167"/>
      <c r="W16" s="42"/>
      <c r="X16" s="68"/>
      <c r="Y16" s="161"/>
      <c r="Z16" s="253" t="s">
        <v>263</v>
      </c>
      <c r="AA16" s="254"/>
      <c r="AB16" s="254"/>
      <c r="AC16" s="255"/>
    </row>
    <row r="17" ht="20.1" customHeight="1" s="19" customFormat="1">
      <c r="A17" s="63">
        <v>50</v>
      </c>
      <c r="B17" s="64">
        <v>1</v>
      </c>
      <c r="C17" s="63" t="s">
        <v>264</v>
      </c>
      <c r="D17" s="65">
        <v>50</v>
      </c>
      <c r="E17" s="66">
        <v>0</v>
      </c>
      <c r="F17" s="67"/>
      <c r="G17" s="42"/>
      <c r="H17" s="68"/>
      <c r="I17" s="67"/>
      <c r="J17" s="42"/>
      <c r="K17" s="68"/>
      <c r="L17" s="69"/>
      <c r="M17" s="70"/>
      <c r="N17" s="71"/>
      <c r="O17" s="173"/>
      <c r="P17" s="178"/>
      <c r="Q17" s="232"/>
      <c r="R17" s="157"/>
      <c r="S17" s="167"/>
      <c r="T17" s="42"/>
      <c r="U17" s="68"/>
      <c r="V17" s="167"/>
      <c r="W17" s="42"/>
      <c r="X17" s="68"/>
      <c r="Y17" s="161"/>
      <c r="Z17" s="253" t="s">
        <v>265</v>
      </c>
      <c r="AA17" s="254"/>
      <c r="AB17" s="254"/>
      <c r="AC17" s="255"/>
    </row>
    <row r="18" ht="20.1" customHeight="1" s="19" customFormat="1">
      <c r="A18" s="63">
        <v>51</v>
      </c>
      <c r="B18" s="64">
        <v>2</v>
      </c>
      <c r="C18" s="63" t="s">
        <v>266</v>
      </c>
      <c r="D18" s="65">
        <v>50</v>
      </c>
      <c r="E18" s="66">
        <v>0</v>
      </c>
      <c r="F18" s="67"/>
      <c r="G18" s="42"/>
      <c r="H18" s="68"/>
      <c r="I18" s="67"/>
      <c r="J18" s="42"/>
      <c r="K18" s="68"/>
      <c r="L18" s="69"/>
      <c r="M18" s="70"/>
      <c r="N18" s="71"/>
      <c r="O18" s="173"/>
      <c r="P18" s="178"/>
      <c r="Q18" s="234"/>
      <c r="R18" s="157"/>
      <c r="S18" s="167"/>
      <c r="T18" s="42"/>
      <c r="U18" s="68"/>
      <c r="V18" s="167"/>
      <c r="W18" s="42"/>
      <c r="X18" s="68"/>
      <c r="Y18" s="161"/>
      <c r="Z18" s="253" t="s">
        <v>267</v>
      </c>
      <c r="AA18" s="254"/>
      <c r="AB18" s="254"/>
      <c r="AC18" s="255"/>
    </row>
    <row r="19" ht="20.1" customHeight="1" s="19" customFormat="1">
      <c r="A19" s="63">
        <v>52</v>
      </c>
      <c r="B19" s="64">
        <v>1</v>
      </c>
      <c r="C19" s="63" t="s">
        <v>268</v>
      </c>
      <c r="D19" s="65">
        <v>25</v>
      </c>
      <c r="E19" s="66">
        <v>0</v>
      </c>
      <c r="F19" s="67"/>
      <c r="G19" s="42"/>
      <c r="H19" s="68"/>
      <c r="I19" s="67"/>
      <c r="J19" s="42"/>
      <c r="K19" s="68"/>
      <c r="L19" s="69"/>
      <c r="M19" s="70"/>
      <c r="N19" s="71"/>
      <c r="O19" s="173"/>
      <c r="P19" s="178"/>
      <c r="Q19" s="170"/>
      <c r="R19" s="157"/>
      <c r="S19" s="167"/>
      <c r="T19" s="42"/>
      <c r="U19" s="68"/>
      <c r="V19" s="167"/>
      <c r="W19" s="42"/>
      <c r="X19" s="68"/>
      <c r="Y19" s="161"/>
      <c r="Z19" s="253" t="s">
        <v>269</v>
      </c>
      <c r="AA19" s="254"/>
      <c r="AB19" s="254"/>
      <c r="AC19" s="255"/>
    </row>
    <row r="20" ht="20.1" customHeight="1" s="19" customFormat="1">
      <c r="A20" s="63">
        <v>53</v>
      </c>
      <c r="B20" s="64">
        <v>1</v>
      </c>
      <c r="C20" s="63" t="s">
        <v>270</v>
      </c>
      <c r="D20" s="65">
        <v>50</v>
      </c>
      <c r="E20" s="66">
        <v>0</v>
      </c>
      <c r="F20" s="67"/>
      <c r="G20" s="42"/>
      <c r="H20" s="68"/>
      <c r="I20" s="67"/>
      <c r="J20" s="42"/>
      <c r="K20" s="68"/>
      <c r="L20" s="69"/>
      <c r="M20" s="70"/>
      <c r="N20" s="71"/>
      <c r="O20" s="173"/>
      <c r="P20" s="178"/>
      <c r="Q20" s="170"/>
      <c r="R20" s="157"/>
      <c r="S20" s="167"/>
      <c r="T20" s="42"/>
      <c r="U20" s="68"/>
      <c r="V20" s="167"/>
      <c r="W20" s="42"/>
      <c r="X20" s="68"/>
      <c r="Y20" s="161"/>
      <c r="Z20" s="253" t="s">
        <v>271</v>
      </c>
      <c r="AA20" s="254"/>
      <c r="AB20" s="254"/>
      <c r="AC20" s="255"/>
    </row>
    <row r="21" ht="20.1" customHeight="1" s="19" customFormat="1">
      <c r="A21" s="63">
        <v>54</v>
      </c>
      <c r="B21" s="64">
        <v>2</v>
      </c>
      <c r="C21" s="63" t="s">
        <v>264</v>
      </c>
      <c r="D21" s="65">
        <v>50</v>
      </c>
      <c r="E21" s="66">
        <v>0</v>
      </c>
      <c r="F21" s="67"/>
      <c r="G21" s="42"/>
      <c r="H21" s="68"/>
      <c r="I21" s="67"/>
      <c r="J21" s="42"/>
      <c r="K21" s="68"/>
      <c r="L21" s="69"/>
      <c r="M21" s="70"/>
      <c r="N21" s="71"/>
      <c r="O21" s="173"/>
      <c r="P21" s="178"/>
      <c r="Q21" s="232"/>
      <c r="R21" s="157"/>
      <c r="S21" s="167"/>
      <c r="T21" s="42"/>
      <c r="U21" s="68"/>
      <c r="V21" s="167"/>
      <c r="W21" s="42"/>
      <c r="X21" s="68"/>
      <c r="Y21" s="161"/>
      <c r="Z21" s="253" t="s">
        <v>272</v>
      </c>
      <c r="AA21" s="254"/>
      <c r="AB21" s="254"/>
      <c r="AC21" s="255"/>
    </row>
    <row r="22" ht="20.1" customHeight="1" s="19" customFormat="1">
      <c r="A22" s="63">
        <v>55</v>
      </c>
      <c r="B22" s="64">
        <v>6</v>
      </c>
      <c r="C22" s="63" t="s">
        <v>273</v>
      </c>
      <c r="D22" s="65">
        <v>50</v>
      </c>
      <c r="E22" s="66">
        <v>0</v>
      </c>
      <c r="F22" s="67"/>
      <c r="G22" s="42"/>
      <c r="H22" s="68"/>
      <c r="I22" s="67"/>
      <c r="J22" s="42"/>
      <c r="K22" s="68"/>
      <c r="L22" s="69"/>
      <c r="M22" s="70"/>
      <c r="N22" s="71"/>
      <c r="O22" s="173"/>
      <c r="P22" s="178"/>
      <c r="Q22" s="232"/>
      <c r="R22" s="157"/>
      <c r="S22" s="167"/>
      <c r="T22" s="42"/>
      <c r="U22" s="68"/>
      <c r="V22" s="167"/>
      <c r="W22" s="42"/>
      <c r="X22" s="68"/>
      <c r="Y22" s="161"/>
      <c r="Z22" s="253" t="s">
        <v>274</v>
      </c>
      <c r="AA22" s="254"/>
      <c r="AB22" s="254"/>
      <c r="AC22" s="255"/>
    </row>
    <row r="23" ht="20.1" customHeight="1" s="19" customFormat="1">
      <c r="A23" s="63">
        <v>56</v>
      </c>
      <c r="B23" s="64">
        <v>2</v>
      </c>
      <c r="C23" s="63" t="s">
        <v>264</v>
      </c>
      <c r="D23" s="65">
        <v>50</v>
      </c>
      <c r="E23" s="66">
        <v>0</v>
      </c>
      <c r="F23" s="67"/>
      <c r="G23" s="42"/>
      <c r="H23" s="68"/>
      <c r="I23" s="67"/>
      <c r="J23" s="42"/>
      <c r="K23" s="68"/>
      <c r="L23" s="69"/>
      <c r="M23" s="70"/>
      <c r="N23" s="71"/>
      <c r="O23" s="173"/>
      <c r="P23" s="178"/>
      <c r="Q23" s="234"/>
      <c r="R23" s="157"/>
      <c r="S23" s="167"/>
      <c r="T23" s="42"/>
      <c r="U23" s="68"/>
      <c r="V23" s="167"/>
      <c r="W23" s="42"/>
      <c r="X23" s="68"/>
      <c r="Y23" s="161"/>
      <c r="Z23" s="253" t="s">
        <v>275</v>
      </c>
      <c r="AA23" s="254"/>
      <c r="AB23" s="254"/>
      <c r="AC23" s="255"/>
    </row>
    <row r="24" ht="20.1" customHeight="1" s="19" customFormat="1">
      <c r="A24" s="63">
        <v>57</v>
      </c>
      <c r="B24" s="64">
        <v>2</v>
      </c>
      <c r="C24" s="63" t="s">
        <v>276</v>
      </c>
      <c r="D24" s="65">
        <v>49</v>
      </c>
      <c r="E24" s="66">
        <v>0</v>
      </c>
      <c r="F24" s="67"/>
      <c r="G24" s="42"/>
      <c r="H24" s="68"/>
      <c r="I24" s="67"/>
      <c r="J24" s="42"/>
      <c r="K24" s="68"/>
      <c r="L24" s="69"/>
      <c r="M24" s="70"/>
      <c r="N24" s="71"/>
      <c r="O24" s="173"/>
      <c r="P24" s="178"/>
      <c r="Q24" s="170"/>
      <c r="R24" s="157"/>
      <c r="S24" s="167"/>
      <c r="T24" s="42"/>
      <c r="U24" s="68"/>
      <c r="V24" s="167"/>
      <c r="W24" s="42"/>
      <c r="X24" s="68"/>
      <c r="Y24" s="161"/>
      <c r="Z24" s="253" t="s">
        <v>277</v>
      </c>
      <c r="AA24" s="254"/>
      <c r="AB24" s="254"/>
      <c r="AC24" s="255"/>
    </row>
    <row r="25" ht="20.1" customHeight="1" s="19" customFormat="1">
      <c r="A25" s="63">
        <v>58</v>
      </c>
      <c r="B25" s="64">
        <v>1</v>
      </c>
      <c r="C25" s="63" t="s">
        <v>262</v>
      </c>
      <c r="D25" s="65">
        <v>51</v>
      </c>
      <c r="E25" s="66">
        <v>6</v>
      </c>
      <c r="F25" s="67"/>
      <c r="G25" s="42"/>
      <c r="H25" s="68"/>
      <c r="I25" s="67"/>
      <c r="J25" s="42"/>
      <c r="K25" s="68"/>
      <c r="L25" s="69"/>
      <c r="M25" s="70"/>
      <c r="N25" s="71"/>
      <c r="O25" s="173"/>
      <c r="P25" s="178"/>
      <c r="Q25" s="233"/>
      <c r="R25" s="157"/>
      <c r="S25" s="167"/>
      <c r="T25" s="42"/>
      <c r="U25" s="68"/>
      <c r="V25" s="167"/>
      <c r="W25" s="42"/>
      <c r="X25" s="68"/>
      <c r="Y25" s="161"/>
      <c r="Z25" s="253" t="s">
        <v>278</v>
      </c>
      <c r="AA25" s="254"/>
      <c r="AB25" s="254"/>
      <c r="AC25" s="255"/>
    </row>
    <row r="26" ht="20.1" customHeight="1" s="19" customFormat="1">
      <c r="A26" s="63"/>
      <c r="B26" s="64"/>
      <c r="C26" s="63"/>
      <c r="D26" s="65"/>
      <c r="E26" s="66"/>
      <c r="F26" s="67"/>
      <c r="G26" s="42"/>
      <c r="H26" s="68"/>
      <c r="I26" s="67"/>
      <c r="J26" s="42"/>
      <c r="K26" s="68"/>
      <c r="L26" s="69"/>
      <c r="M26" s="70"/>
      <c r="N26" s="71"/>
      <c r="O26" s="173"/>
      <c r="P26" s="178"/>
      <c r="Q26" s="233"/>
      <c r="R26" s="157"/>
      <c r="S26" s="167"/>
      <c r="T26" s="42"/>
      <c r="U26" s="68"/>
      <c r="V26" s="167"/>
      <c r="W26" s="42"/>
      <c r="X26" s="68"/>
      <c r="Y26" s="161"/>
      <c r="Z26" s="253"/>
      <c r="AA26" s="254"/>
      <c r="AB26" s="254"/>
      <c r="AC26" s="255"/>
    </row>
    <row r="27" ht="20.1" customHeight="1" s="19" customFormat="1">
      <c r="A27" s="63"/>
      <c r="B27" s="64"/>
      <c r="C27" s="63"/>
      <c r="D27" s="65"/>
      <c r="E27" s="66"/>
      <c r="F27" s="67"/>
      <c r="G27" s="42"/>
      <c r="H27" s="68"/>
      <c r="I27" s="67"/>
      <c r="J27" s="42"/>
      <c r="K27" s="68"/>
      <c r="L27" s="69"/>
      <c r="M27" s="70"/>
      <c r="N27" s="71"/>
      <c r="O27" s="173"/>
      <c r="P27" s="178"/>
      <c r="Q27" s="234"/>
      <c r="R27" s="157"/>
      <c r="S27" s="167"/>
      <c r="T27" s="42"/>
      <c r="U27" s="68"/>
      <c r="V27" s="167"/>
      <c r="W27" s="42"/>
      <c r="X27" s="68"/>
      <c r="Y27" s="161"/>
      <c r="Z27" s="253"/>
      <c r="AA27" s="254"/>
      <c r="AB27" s="254"/>
      <c r="AC27" s="255"/>
    </row>
    <row r="28" ht="20.1" customHeight="1" s="19" customFormat="1">
      <c r="A28" s="63"/>
      <c r="B28" s="64"/>
      <c r="C28" s="63"/>
      <c r="D28" s="65"/>
      <c r="E28" s="66"/>
      <c r="F28" s="67"/>
      <c r="G28" s="42"/>
      <c r="H28" s="68"/>
      <c r="I28" s="67"/>
      <c r="J28" s="42"/>
      <c r="K28" s="68"/>
      <c r="L28" s="69"/>
      <c r="M28" s="70"/>
      <c r="N28" s="71"/>
      <c r="O28" s="173"/>
      <c r="P28" s="178"/>
      <c r="Q28" s="232"/>
      <c r="R28" s="157"/>
      <c r="S28" s="167"/>
      <c r="T28" s="42"/>
      <c r="U28" s="68"/>
      <c r="V28" s="167"/>
      <c r="W28" s="42"/>
      <c r="X28" s="68"/>
      <c r="Y28" s="161"/>
      <c r="Z28" s="253"/>
      <c r="AA28" s="254"/>
      <c r="AB28" s="254"/>
      <c r="AC28" s="255"/>
    </row>
    <row r="29" ht="20.1" customHeight="1" s="19" customFormat="1">
      <c r="A29" s="63"/>
      <c r="B29" s="64"/>
      <c r="C29" s="63"/>
      <c r="D29" s="65"/>
      <c r="E29" s="66"/>
      <c r="F29" s="67"/>
      <c r="G29" s="42"/>
      <c r="H29" s="68"/>
      <c r="I29" s="67"/>
      <c r="J29" s="42"/>
      <c r="K29" s="68"/>
      <c r="L29" s="69"/>
      <c r="M29" s="70"/>
      <c r="N29" s="71"/>
      <c r="O29" s="173"/>
      <c r="P29" s="178"/>
      <c r="Q29" s="233"/>
      <c r="R29" s="157"/>
      <c r="S29" s="167"/>
      <c r="T29" s="42"/>
      <c r="U29" s="68"/>
      <c r="V29" s="167"/>
      <c r="W29" s="42"/>
      <c r="X29" s="68"/>
      <c r="Y29" s="161"/>
      <c r="Z29" s="253"/>
      <c r="AA29" s="254"/>
      <c r="AB29" s="254"/>
      <c r="AC29" s="255"/>
    </row>
    <row r="30" ht="20.1" customHeight="1" s="19" customFormat="1">
      <c r="A30" s="63"/>
      <c r="B30" s="64"/>
      <c r="C30" s="63"/>
      <c r="D30" s="65"/>
      <c r="E30" s="66"/>
      <c r="F30" s="67"/>
      <c r="G30" s="42"/>
      <c r="H30" s="68"/>
      <c r="I30" s="67"/>
      <c r="J30" s="42"/>
      <c r="K30" s="68"/>
      <c r="L30" s="69"/>
      <c r="M30" s="70"/>
      <c r="N30" s="71"/>
      <c r="O30" s="173"/>
      <c r="P30" s="178"/>
      <c r="Q30" s="234"/>
      <c r="R30" s="157"/>
      <c r="S30" s="167"/>
      <c r="T30" s="42"/>
      <c r="U30" s="68"/>
      <c r="V30" s="167"/>
      <c r="W30" s="42"/>
      <c r="X30" s="68"/>
      <c r="Y30" s="161"/>
      <c r="Z30" s="253"/>
      <c r="AA30" s="254"/>
      <c r="AB30" s="254"/>
      <c r="AC30" s="255"/>
    </row>
    <row r="31" ht="20.1" customHeight="1" s="19" customFormat="1">
      <c r="A31" s="63"/>
      <c r="B31" s="64"/>
      <c r="C31" s="63"/>
      <c r="D31" s="65"/>
      <c r="E31" s="66"/>
      <c r="F31" s="67"/>
      <c r="G31" s="42"/>
      <c r="H31" s="68"/>
      <c r="I31" s="67"/>
      <c r="J31" s="42"/>
      <c r="K31" s="68"/>
      <c r="L31" s="69"/>
      <c r="M31" s="70"/>
      <c r="N31" s="71"/>
      <c r="O31" s="173"/>
      <c r="P31" s="178"/>
      <c r="Q31" s="170"/>
      <c r="R31" s="157"/>
      <c r="S31" s="167"/>
      <c r="T31" s="42"/>
      <c r="U31" s="68"/>
      <c r="V31" s="167"/>
      <c r="W31" s="42"/>
      <c r="X31" s="68"/>
      <c r="Y31" s="161"/>
      <c r="Z31" s="253"/>
      <c r="AA31" s="254"/>
      <c r="AB31" s="254"/>
      <c r="AC31" s="255"/>
    </row>
    <row r="32" ht="20.1" customHeight="1" s="19" customFormat="1">
      <c r="A32" s="63"/>
      <c r="B32" s="64"/>
      <c r="C32" s="63"/>
      <c r="D32" s="65"/>
      <c r="E32" s="66"/>
      <c r="F32" s="67"/>
      <c r="G32" s="42"/>
      <c r="H32" s="68"/>
      <c r="I32" s="67"/>
      <c r="J32" s="42"/>
      <c r="K32" s="68"/>
      <c r="L32" s="69"/>
      <c r="M32" s="70"/>
      <c r="N32" s="71"/>
      <c r="O32" s="173"/>
      <c r="P32" s="178"/>
      <c r="Q32" s="170"/>
      <c r="R32" s="157"/>
      <c r="S32" s="167"/>
      <c r="T32" s="42"/>
      <c r="U32" s="68"/>
      <c r="V32" s="167"/>
      <c r="W32" s="42"/>
      <c r="X32" s="68"/>
      <c r="Y32" s="161"/>
      <c r="Z32" s="253"/>
      <c r="AA32" s="254"/>
      <c r="AB32" s="254"/>
      <c r="AC32" s="255"/>
    </row>
    <row r="33" ht="20.1" customHeight="1" s="19" customFormat="1">
      <c r="A33" s="63"/>
      <c r="B33" s="64"/>
      <c r="C33" s="63"/>
      <c r="D33" s="65"/>
      <c r="E33" s="66"/>
      <c r="F33" s="67"/>
      <c r="G33" s="42"/>
      <c r="H33" s="68"/>
      <c r="I33" s="67"/>
      <c r="J33" s="42"/>
      <c r="K33" s="68"/>
      <c r="L33" s="69"/>
      <c r="M33" s="70"/>
      <c r="N33" s="71"/>
      <c r="O33" s="173"/>
      <c r="P33" s="178"/>
      <c r="Q33" s="170"/>
      <c r="R33" s="157"/>
      <c r="S33" s="167"/>
      <c r="T33" s="42"/>
      <c r="U33" s="68"/>
      <c r="V33" s="167"/>
      <c r="W33" s="42"/>
      <c r="X33" s="68"/>
      <c r="Y33" s="161"/>
      <c r="Z33" s="253"/>
      <c r="AA33" s="254"/>
      <c r="AB33" s="254"/>
      <c r="AC33" s="255"/>
    </row>
    <row r="34" ht="20.1" customHeight="1" s="19" customFormat="1">
      <c r="A34" s="63"/>
      <c r="B34" s="64"/>
      <c r="C34" s="63"/>
      <c r="D34" s="65"/>
      <c r="E34" s="66"/>
      <c r="F34" s="67"/>
      <c r="G34" s="42"/>
      <c r="H34" s="68"/>
      <c r="I34" s="67"/>
      <c r="J34" s="42"/>
      <c r="K34" s="68"/>
      <c r="L34" s="69"/>
      <c r="M34" s="70"/>
      <c r="N34" s="71"/>
      <c r="O34" s="173"/>
      <c r="P34" s="178"/>
      <c r="Q34" s="232"/>
      <c r="R34" s="157"/>
      <c r="S34" s="167"/>
      <c r="T34" s="42"/>
      <c r="U34" s="68"/>
      <c r="V34" s="167"/>
      <c r="W34" s="42"/>
      <c r="X34" s="68"/>
      <c r="Y34" s="161"/>
      <c r="Z34" s="253"/>
      <c r="AA34" s="254"/>
      <c r="AB34" s="254"/>
      <c r="AC34" s="255"/>
    </row>
    <row r="35" ht="20.1" customHeight="1" s="19" customFormat="1">
      <c r="A35" s="63"/>
      <c r="B35" s="64"/>
      <c r="C35" s="63"/>
      <c r="D35" s="65"/>
      <c r="E35" s="66"/>
      <c r="F35" s="67"/>
      <c r="G35" s="42"/>
      <c r="H35" s="68"/>
      <c r="I35" s="67"/>
      <c r="J35" s="42"/>
      <c r="K35" s="68"/>
      <c r="L35" s="69"/>
      <c r="M35" s="70"/>
      <c r="N35" s="71"/>
      <c r="O35" s="173"/>
      <c r="P35" s="178"/>
      <c r="Q35" s="232"/>
      <c r="R35" s="157"/>
      <c r="S35" s="167"/>
      <c r="T35" s="42"/>
      <c r="U35" s="68"/>
      <c r="V35" s="167"/>
      <c r="W35" s="42"/>
      <c r="X35" s="68"/>
      <c r="Y35" s="161"/>
      <c r="Z35" s="253"/>
      <c r="AA35" s="254"/>
      <c r="AB35" s="254"/>
      <c r="AC35" s="255"/>
    </row>
    <row r="36" ht="20.1" customHeight="1" s="19" customFormat="1">
      <c r="A36" s="63"/>
      <c r="B36" s="64"/>
      <c r="C36" s="63"/>
      <c r="D36" s="65"/>
      <c r="E36" s="66"/>
      <c r="F36" s="67"/>
      <c r="G36" s="42"/>
      <c r="H36" s="68"/>
      <c r="I36" s="67"/>
      <c r="J36" s="42"/>
      <c r="K36" s="68"/>
      <c r="L36" s="69"/>
      <c r="M36" s="70"/>
      <c r="N36" s="71"/>
      <c r="O36" s="173"/>
      <c r="P36" s="178"/>
      <c r="Q36" s="234"/>
      <c r="R36" s="157"/>
      <c r="S36" s="167"/>
      <c r="T36" s="42"/>
      <c r="U36" s="68"/>
      <c r="V36" s="167"/>
      <c r="W36" s="42"/>
      <c r="X36" s="68"/>
      <c r="Y36" s="161"/>
      <c r="Z36" s="253"/>
      <c r="AA36" s="254"/>
      <c r="AB36" s="254"/>
      <c r="AC36" s="255"/>
    </row>
    <row r="37" ht="20.1" customHeight="1" s="19" customFormat="1">
      <c r="A37" s="63"/>
      <c r="B37" s="64"/>
      <c r="C37" s="63"/>
      <c r="D37" s="65"/>
      <c r="E37" s="66"/>
      <c r="F37" s="67"/>
      <c r="G37" s="42"/>
      <c r="H37" s="68"/>
      <c r="I37" s="67"/>
      <c r="J37" s="42"/>
      <c r="K37" s="68"/>
      <c r="L37" s="69"/>
      <c r="M37" s="70"/>
      <c r="N37" s="71"/>
      <c r="O37" s="173"/>
      <c r="P37" s="178"/>
      <c r="Q37" s="233"/>
      <c r="R37" s="157"/>
      <c r="S37" s="167"/>
      <c r="T37" s="42"/>
      <c r="U37" s="68"/>
      <c r="V37" s="167"/>
      <c r="W37" s="42"/>
      <c r="X37" s="68"/>
      <c r="Y37" s="161"/>
      <c r="Z37" s="253"/>
      <c r="AA37" s="254"/>
      <c r="AB37" s="254"/>
      <c r="AC37" s="255"/>
    </row>
    <row r="38" ht="20.1" customHeight="1" s="19" customFormat="1">
      <c r="A38" s="63"/>
      <c r="B38" s="64"/>
      <c r="C38" s="63"/>
      <c r="D38" s="65"/>
      <c r="E38" s="66"/>
      <c r="F38" s="67"/>
      <c r="G38" s="42"/>
      <c r="H38" s="68"/>
      <c r="I38" s="67"/>
      <c r="J38" s="42"/>
      <c r="K38" s="68"/>
      <c r="L38" s="69"/>
      <c r="M38" s="70"/>
      <c r="N38" s="71"/>
      <c r="O38" s="173"/>
      <c r="P38" s="178"/>
      <c r="Q38" s="234"/>
      <c r="R38" s="157"/>
      <c r="S38" s="167"/>
      <c r="T38" s="42"/>
      <c r="U38" s="68"/>
      <c r="V38" s="167"/>
      <c r="W38" s="42"/>
      <c r="X38" s="68"/>
      <c r="Y38" s="161"/>
      <c r="Z38" s="253"/>
      <c r="AA38" s="254"/>
      <c r="AB38" s="254"/>
      <c r="AC38" s="255"/>
    </row>
    <row r="39" ht="20.1" customHeight="1" s="19" customFormat="1">
      <c r="A39" s="63"/>
      <c r="B39" s="64"/>
      <c r="C39" s="63"/>
      <c r="D39" s="65"/>
      <c r="E39" s="66"/>
      <c r="F39" s="67"/>
      <c r="G39" s="42"/>
      <c r="H39" s="68"/>
      <c r="I39" s="67"/>
      <c r="J39" s="42"/>
      <c r="K39" s="68"/>
      <c r="L39" s="69"/>
      <c r="M39" s="70"/>
      <c r="N39" s="71"/>
      <c r="O39" s="173"/>
      <c r="P39" s="178"/>
      <c r="Q39" s="170"/>
      <c r="R39" s="157"/>
      <c r="S39" s="167"/>
      <c r="T39" s="42"/>
      <c r="U39" s="68"/>
      <c r="V39" s="167"/>
      <c r="W39" s="42"/>
      <c r="X39" s="68"/>
      <c r="Y39" s="161"/>
      <c r="Z39" s="253"/>
      <c r="AA39" s="254"/>
      <c r="AB39" s="254"/>
      <c r="AC39" s="255"/>
    </row>
    <row r="40" ht="20.1" customHeight="1" s="19" customFormat="1">
      <c r="A40" s="63"/>
      <c r="B40" s="64"/>
      <c r="C40" s="63"/>
      <c r="D40" s="65"/>
      <c r="E40" s="66"/>
      <c r="F40" s="67"/>
      <c r="G40" s="42"/>
      <c r="H40" s="68"/>
      <c r="I40" s="67"/>
      <c r="J40" s="42"/>
      <c r="K40" s="68"/>
      <c r="L40" s="69"/>
      <c r="M40" s="70"/>
      <c r="N40" s="71"/>
      <c r="O40" s="173"/>
      <c r="P40" s="178"/>
      <c r="Q40" s="170"/>
      <c r="R40" s="157"/>
      <c r="S40" s="167"/>
      <c r="T40" s="42"/>
      <c r="U40" s="68"/>
      <c r="V40" s="167"/>
      <c r="W40" s="42"/>
      <c r="X40" s="68"/>
      <c r="Y40" s="161"/>
      <c r="Z40" s="253"/>
      <c r="AA40" s="254"/>
      <c r="AB40" s="254"/>
      <c r="AC40" s="255"/>
    </row>
    <row r="41" ht="20.1" customHeight="1" s="19" customFormat="1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170"/>
      <c r="R41" s="157"/>
      <c r="S41" s="167"/>
      <c r="T41" s="42"/>
      <c r="U41" s="68"/>
      <c r="V41" s="167"/>
      <c r="W41" s="42"/>
      <c r="X41" s="68"/>
      <c r="Y41" s="161"/>
      <c r="Z41" s="253"/>
      <c r="AA41" s="254"/>
      <c r="AB41" s="254"/>
      <c r="AC41" s="255"/>
    </row>
    <row r="42" ht="20.1" customHeight="1" s="19" customFormat="1">
      <c r="A42" s="74" t="s">
        <v>14</v>
      </c>
      <c r="B42" s="288">
        <f>SUM(B5:B41)</f>
        <v>0</v>
      </c>
      <c r="C42" s="289"/>
      <c r="D42" s="285"/>
      <c r="E42" s="286"/>
      <c r="F42" s="286"/>
      <c r="G42" s="286"/>
      <c r="H42" s="286"/>
      <c r="I42" s="286"/>
      <c r="J42" s="286"/>
      <c r="K42" s="286"/>
      <c r="L42" s="286"/>
      <c r="M42" s="286"/>
      <c r="N42" s="286"/>
      <c r="O42" s="286"/>
      <c r="P42" s="286"/>
      <c r="Q42" s="286"/>
      <c r="R42" s="286"/>
      <c r="S42" s="286"/>
      <c r="T42" s="286"/>
      <c r="U42" s="286"/>
      <c r="V42" s="286"/>
      <c r="W42" s="286"/>
      <c r="X42" s="286"/>
      <c r="Y42" s="286"/>
      <c r="Z42" s="286"/>
      <c r="AA42" s="286"/>
      <c r="AB42" s="286"/>
      <c r="AC42" s="287"/>
    </row>
    <row r="43" ht="20.1" customHeight="1" s="19" customFormat="1">
      <c r="A43" s="164" t="s">
        <v>47</v>
      </c>
      <c r="B43" s="276"/>
      <c r="C43" s="276"/>
      <c r="D43" s="276"/>
      <c r="E43" s="276"/>
      <c r="F43" s="276"/>
      <c r="G43" s="276"/>
      <c r="H43" s="276"/>
      <c r="I43" s="276"/>
      <c r="J43" s="276"/>
      <c r="K43" s="276"/>
      <c r="L43" s="276"/>
      <c r="M43" s="276"/>
      <c r="N43" s="276"/>
      <c r="O43" s="276"/>
      <c r="P43" s="276"/>
      <c r="Q43" s="276"/>
      <c r="R43" s="276"/>
      <c r="S43" s="276"/>
      <c r="T43" s="276"/>
      <c r="U43" s="276"/>
      <c r="V43" s="276"/>
      <c r="W43" s="276"/>
      <c r="X43" s="276"/>
      <c r="Y43" s="276"/>
      <c r="Z43" s="276"/>
      <c r="AA43" s="276"/>
      <c r="AB43" s="276"/>
      <c r="AC43" s="277"/>
    </row>
    <row r="44" ht="20.1" customHeight="1" s="19" customFormat="1">
      <c r="A44" s="253"/>
      <c r="B44" s="254"/>
      <c r="C44" s="254"/>
      <c r="D44" s="254"/>
      <c r="E44" s="254"/>
      <c r="F44" s="254"/>
      <c r="G44" s="254"/>
      <c r="H44" s="254"/>
      <c r="I44" s="254"/>
      <c r="J44" s="254"/>
      <c r="K44" s="254"/>
      <c r="L44" s="254"/>
      <c r="M44" s="254"/>
      <c r="N44" s="254"/>
      <c r="O44" s="254"/>
      <c r="P44" s="254"/>
      <c r="Q44" s="254"/>
      <c r="R44" s="254"/>
      <c r="S44" s="254"/>
      <c r="T44" s="254"/>
      <c r="U44" s="254"/>
      <c r="V44" s="254"/>
      <c r="W44" s="254"/>
      <c r="X44" s="254"/>
      <c r="Y44" s="254"/>
      <c r="Z44" s="254"/>
      <c r="AA44" s="254"/>
      <c r="AB44" s="254"/>
      <c r="AC44" s="255"/>
    </row>
    <row r="45" ht="20.1" customHeight="1" s="19" customFormat="1">
      <c r="A45" s="282"/>
      <c r="B45" s="283"/>
      <c r="C45" s="283"/>
      <c r="D45" s="283"/>
      <c r="E45" s="283"/>
      <c r="F45" s="283"/>
      <c r="G45" s="283"/>
      <c r="H45" s="283"/>
      <c r="I45" s="283"/>
      <c r="J45" s="283"/>
      <c r="K45" s="283"/>
      <c r="L45" s="283"/>
      <c r="M45" s="283"/>
      <c r="N45" s="283"/>
      <c r="O45" s="283"/>
      <c r="P45" s="283"/>
      <c r="Q45" s="283"/>
      <c r="R45" s="283"/>
      <c r="S45" s="283"/>
      <c r="T45" s="283"/>
      <c r="U45" s="283"/>
      <c r="V45" s="283"/>
      <c r="W45" s="283"/>
      <c r="X45" s="283"/>
      <c r="Y45" s="283"/>
      <c r="Z45" s="283"/>
      <c r="AA45" s="283"/>
      <c r="AB45" s="283"/>
      <c r="AC45" s="284"/>
    </row>
    <row r="46" ht="17.45" customHeight="1" s="19" customFormat="1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ht="17.45" customHeight="1" s="19" customForma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Z47" s="18"/>
      <c r="AA47" s="18"/>
      <c r="AB47" s="18"/>
    </row>
    <row r="48" ht="17.45" customHeight="1" s="19" customFormat="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Z48" s="18"/>
      <c r="AA48" s="18"/>
      <c r="AB48" s="18"/>
    </row>
    <row r="49" ht="17.45" customHeight="1" s="19" customFormat="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Z49" s="18"/>
      <c r="AA49" s="18"/>
      <c r="AB49" s="18"/>
    </row>
    <row r="50" ht="17.45" customHeight="1" s="19" customFormat="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Z50" s="18"/>
      <c r="AA50" s="18"/>
      <c r="AB50" s="18"/>
    </row>
    <row r="51" ht="17.45" customHeight="1" s="19" customFormat="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Z51" s="18"/>
      <c r="AA51" s="18"/>
      <c r="AB51" s="18"/>
    </row>
    <row r="52" ht="15" customHeight="1" s="19" customFormat="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Z52" s="18"/>
      <c r="AA52" s="18"/>
      <c r="AB52" s="18"/>
    </row>
    <row r="53" ht="15" customHeight="1" s="19" customFormat="1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Z53" s="18"/>
      <c r="AA53" s="18"/>
      <c r="AB53" s="18"/>
    </row>
    <row r="54" ht="15" customHeight="1" s="19" customFormat="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Z54" s="18"/>
      <c r="AA54" s="18"/>
      <c r="AB54" s="18"/>
    </row>
    <row r="55" ht="15" customHeight="1" s="19" customForma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Z55" s="18"/>
      <c r="AA55" s="18"/>
      <c r="AB55" s="18"/>
    </row>
  </sheetData>
  <dataConsolidate/>
  <mergeCells>
    <mergeCell ref="A3:A4"/>
    <mergeCell ref="B3:B4"/>
    <mergeCell ref="C3:C4"/>
    <mergeCell ref="D3:E4"/>
    <mergeCell ref="F3:H3"/>
    <mergeCell ref="G4:H4"/>
    <mergeCell ref="A1:B1"/>
    <mergeCell ref="C1:Y1"/>
    <mergeCell ref="AA1:AC1"/>
    <mergeCell ref="A2:B2"/>
    <mergeCell ref="C2:Y2"/>
    <mergeCell ref="Z5:AC5"/>
    <mergeCell ref="I3:K3"/>
    <mergeCell ref="L3:M3"/>
    <mergeCell ref="P3:R3"/>
    <mergeCell ref="S3:U3"/>
    <mergeCell ref="V3:X3"/>
    <mergeCell ref="Y3:Y4"/>
    <mergeCell ref="Z3:AC4"/>
    <mergeCell ref="J4:K4"/>
    <mergeCell ref="T4:U4"/>
    <mergeCell ref="W4:X4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B42:C42"/>
    <mergeCell ref="D42:AC42"/>
    <mergeCell ref="B43:AC43"/>
    <mergeCell ref="A44:AC44"/>
    <mergeCell ref="A45:AC45"/>
  </mergeCells>
  <dataValidations count="11">
    <dataValidation type="list" allowBlank="1" showInputMessage="1" showErrorMessage="1" errorTitle="Bad Input" error="Input for this cell must be one of the listed positions and all uppercase!" sqref="R36 R20 R14 R13 R16 R22:R23 R10 R7 R30:R31 R28 R9 R40:R41 R27 R11 R5 R18 R32 R19 R26 R15 R35 R6 R38 R8 R12 R17 R21 R25 R29 R33">
      <formula1>"TC,BC,BE,LE,RE"</formula1>
    </dataValidation>
    <dataValidation type="list" allowBlank="1" showInputMessage="1" showErrorMessage="1" errorTitle="Bad Input" error="Input for this cell must be one of the listed categories and all uppercase!" sqref="Q36 Q20 Q14 Q13 Q16 Q22:Q23 Q10 Q7 Q30:Q31 Q28 Q9 Q40:Q41 Q27 Q11 Q5 Q18 Q32 Q19 Q26 Q15 Q35 Q6 Q38 Q8 Q12 Q17 Q21 Q25 Q29 Q33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39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9">
      <formula1>"TC,BC,BE,LE,RE"</formula1>
    </dataValidation>
    <dataValidation type="list" allowBlank="1" showInputMessage="1" showErrorMessage="1" errorTitle="Bad Input" error="Input for this cell must be one of the listed categories and all uppercase!" sqref="Q3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4">
      <formula1>"TC,BC,BE,LE,RE"</formula1>
    </dataValidation>
    <dataValidation type="list" allowBlank="1" showInputMessage="1" showErrorMessage="1" errorTitle="Bad Input" error="Input for this cell must be one of the listed categories and all uppercase!" sqref="Q2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24">
      <formula1>"TC,BC,BE,LE,RE"</formula1>
    </dataValidation>
    <dataValidation type="list" allowBlank="1" showInputMessage="1" showErrorMessage="1" errorTitle="Bad Input" error="Input for this cell must be one of the listed categories and all uppercase!" sqref="Q37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7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Cover</vt:lpstr>
      <vt:lpstr>Additional Takeoff Info</vt:lpstr>
      <vt:lpstr>J(BLANK)</vt:lpstr>
      <vt:lpstr>Check List</vt:lpstr>
      <vt:lpstr>ProjectTypeLookup</vt:lpstr>
      <vt:lpstr>HighlightedCell</vt:lpstr>
      <vt:lpstr>'A (0)'!Print_Area</vt:lpstr>
      <vt:lpstr>'B (0)'!Print_Area</vt:lpstr>
      <vt:lpstr>'Check List'!Print_Area</vt:lpstr>
      <vt:lpstr>Cover!Print_Area</vt:lpstr>
      <vt:lpstr>'D (0)'!Print_Area</vt:lpstr>
      <vt:lpstr>'J (0)'!Print_Area</vt:lpstr>
      <vt:lpstr>'J(BLANK)'!Print_Area</vt:lpstr>
      <vt:lpstr>'N (0)'!Print_Area</vt:lpstr>
    </vt:vector>
  </TitlesOfParts>
  <Company>New Millenium Building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Shannon, Darien</cp:lastModifiedBy>
  <cp:lastPrinted>2008-02-11T19:27:37Z</cp:lastPrinted>
  <dcterms:created xsi:type="dcterms:W3CDTF">2000-01-04T15:14:32Z</dcterms:created>
  <dcterms:modified xsi:type="dcterms:W3CDTF">2019-04-03T00:06:00Z</dcterms:modified>
</cp:coreProperties>
</file>